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bdf5f5165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a1db001456415e"/>
    <x:sheet xmlns:r="http://schemas.openxmlformats.org/officeDocument/2006/relationships" name="Current Screen" sheetId="2" r:id="Reca8b992128e4254"/>
    <x:sheet xmlns:r="http://schemas.openxmlformats.org/officeDocument/2006/relationships" name="Weekly History" sheetId="3" r:id="R638a8ced3adf48c2"/>
    <x:sheet xmlns:r="http://schemas.openxmlformats.org/officeDocument/2006/relationships" name="Changes" sheetId="4" r:id="Rffd609d0928c454c"/>
    <x:sheet xmlns:r="http://schemas.openxmlformats.org/officeDocument/2006/relationships" name="Industry Review" sheetId="5" r:id="R182b81b0833b42c4"/>
    <x:sheet xmlns:r="http://schemas.openxmlformats.org/officeDocument/2006/relationships" name="Methodology" sheetId="6" r:id="R0a3b5df5b68d40ac"/>
    <x:sheet xmlns:r="http://schemas.openxmlformats.org/officeDocument/2006/relationships" name="Backtest Validation" sheetId="7" r:id="Rac28d48e1c3849eb"/>
    <x:sheet xmlns:r="http://schemas.openxmlformats.org/officeDocument/2006/relationships" name="Data Sources" sheetId="8" r:id="R2e139d7be6d5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0.0%"/>
    <x:numFmt numFmtId="202" formatCode="0.00%"/>
    <x:numFmt numFmtId="203" formatCode="₹#,##0.00;[Red](₹#,##0.00);-"/>
    <x:numFmt numFmtId="204" formatCode="0.00x"/>
    <x:numFmt numFmtId="205" formatCode="#,##0.00;[Red](#,##0.00);-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i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7" fillId="7" borderId="8" xfId="0" applyNumberFormat="1" applyFont="1" applyFill="1" applyBorder="1"/>
    <x:xf numFmtId="0" fontId="0" fillId="0" xfId="0" applyNumberFormat="1" applyFont="1" applyFill="1" applyBorder="0"/>
    <x:xf numFmtId="0" fontId="8" fillId="8" borderId="4" xfId="0" applyNumberFormat="1" applyFont="1" applyFill="1" applyBorder="1"/>
    <x:xf numFmtId="0" fontId="8" fillId="8" xfId="0" applyNumberFormat="1" applyFont="1" applyFill="1" applyBorder="0"/>
    <x:xf numFmtId="0" fontId="8" fillId="8" borderId="5" xfId="0" applyNumberFormat="1" applyFont="1" applyFill="1" applyBorder="1"/>
    <x:xf numFmtId="0" fontId="0" fillId="0" borderId="9" xfId="0" applyNumberFormat="1" applyFont="1" applyFill="1" applyBorder="1"/>
    <x:xf numFmtId="202" fontId="0" fillId="0" borderId="5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7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291b2945b4976" /><Relationship Type="http://schemas.openxmlformats.org/officeDocument/2006/relationships/theme" Target="/xl/theme/theme1.xml" Id="R521d929c4fe94a09" /><Relationship Type="http://schemas.openxmlformats.org/officeDocument/2006/relationships/sharedStrings" Target="/xl/sharedStrings.xml" Id="R6f5607ec2cdb45f4" /><Relationship Type="http://schemas.openxmlformats.org/officeDocument/2006/relationships/worksheet" Target="/xl/worksheets/sheet1.xml" Id="Rfba1db001456415e" /><Relationship Type="http://schemas.openxmlformats.org/officeDocument/2006/relationships/worksheet" Target="/xl/worksheets/sheet2.xml" Id="Reca8b992128e4254" /><Relationship Type="http://schemas.openxmlformats.org/officeDocument/2006/relationships/worksheet" Target="/xl/worksheets/sheet3.xml" Id="R638a8ced3adf48c2" /><Relationship Type="http://schemas.openxmlformats.org/officeDocument/2006/relationships/worksheet" Target="/xl/worksheets/sheet4.xml" Id="Rffd609d0928c454c" /><Relationship Type="http://schemas.openxmlformats.org/officeDocument/2006/relationships/worksheet" Target="/xl/worksheets/sheet5.xml" Id="R182b81b0833b42c4" /><Relationship Type="http://schemas.openxmlformats.org/officeDocument/2006/relationships/worksheet" Target="/xl/worksheets/sheet6.xml" Id="R0a3b5df5b68d40ac" /><Relationship Type="http://schemas.openxmlformats.org/officeDocument/2006/relationships/worksheet" Target="/xl/worksheets/sheet7.xml" Id="Rac28d48e1c3849eb" /><Relationship Type="http://schemas.openxmlformats.org/officeDocument/2006/relationships/worksheet" Target="/xl/worksheets/sheet8.xml" Id="R2e139d7be6d54e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2168543a0e4c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Methodology status by industry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Stocks</c:v>
          </c:tx>
          <c:cat>
            <c:strRef>
              <c:f>'Dashboard'!$A$27:$A$36</c:f>
              <c:strCache>
                <c:ptCount val="0"/>
              </c:strCache>
            </c:strRef>
          </c:cat>
          <c:val>
            <c:numRef>
              <c:f>'Dashboard'!$B$27:$B$36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</c:v>
          </c:tx>
          <c:cat>
            <c:strRef>
              <c:f>'Dashboard'!$A$27:$A$36</c:f>
              <c:strCache>
                <c:ptCount val="0"/>
              </c:strCache>
            </c:strRef>
          </c:cat>
          <c:val>
            <c:numRef>
              <c:f>'Dashboard'!$C$27:$C$36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WATCH</c:v>
          </c:tx>
          <c:cat>
            <c:strRef>
              <c:f>'Dashboard'!$A$27:$A$36</c:f>
              <c:strCache>
                <c:ptCount val="0"/>
              </c:strCache>
            </c:strRef>
          </c:cat>
          <c:val>
            <c:numRef>
              <c:f>'Dashboard'!$D$27:$D$36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2168543a0e4c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ScreenTable" displayName="CurrentScreenTable" ref="A1:M51" headerRowCount="1" totalsRowCount="0" totalsRowShown="0">
  <x:tableColumns count="13">
    <x:tableColumn id="1" name="Industry"/>
    <x:tableColumn id="2" name="Stock"/>
    <x:tableColumn id="3" name="Listing date"/>
    <x:tableColumn id="4" name="Dividend history"/>
    <x:tableColumn id="5" name="Dividend yield"/>
    <x:tableColumn id="6" name="Market price (₹)"/>
    <x:tableColumn id="7" name="Quote date"/>
    <x:tableColumn id="8" name="52W position"/>
    <x:tableColumn id="9" name="5Y screen"/>
    <x:tableColumn id="10" name="Methodology status"/>
    <x:tableColumn id="11" name="Market source"/>
    <x:tableColumn id="12" name="Dividend sourc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HistoryTable" displayName="WeeklyHistoryTable" ref="A1:J51" headerRowCount="1" totalsRowCount="0" totalsRowShown="0">
  <x:tableColumns count="10">
    <x:tableColumn id="1" name="Review date"/>
    <x:tableColumn id="2" name="Industry"/>
    <x:tableColumn id="3" name="Stock"/>
    <x:tableColumn id="4" name="Dividend yield"/>
    <x:tableColumn id="5" name="Market price (₹)"/>
    <x:tableColumn id="6" name="52W position"/>
    <x:tableColumn id="7" name="5Y screen"/>
    <x:tableColumn id="8" name="Methodology status"/>
    <x:tableColumn id="9" name="Industry status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gesTable" displayName="ChangesTable" ref="A1:H2" headerRowCount="1" totalsRowCount="0" totalsRowShown="0">
  <x:tableColumns count="8">
    <x:tableColumn id="1" name="Review date"/>
    <x:tableColumn id="2" name="Change type"/>
    <x:tableColumn id="3" name="Industry"/>
    <x:tableColumn id="4" name="Stock"/>
    <x:tableColumn id="5" name="Previous"/>
    <x:tableColumn id="6" name="Current"/>
    <x:tableColumn id="7" name="Reason / evidence"/>
    <x:tableColumn id="8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ustryReviewTable" displayName="IndustryReviewTable" ref="A1:K11" headerRowCount="1" totalsRowCount="0" totalsRowShown="0">
  <x:tableColumns count="11">
    <x:tableColumn id="1" name="Industry"/>
    <x:tableColumn id="2" name="Baseline status"/>
    <x:tableColumn id="3" name="Stock count"/>
    <x:tableColumn id="4" name="IN"/>
    <x:tableColumn id="5" name="WATCH"/>
    <x:tableColumn id="6" name="OUT"/>
    <x:tableColumn id="7" name="Weekly thesis status"/>
    <x:tableColumn id="8" name="Previous thesis"/>
    <x:tableColumn id="9" name="Current thesis / catalyst"/>
    <x:tableColumn id="10" name="Key risk"/>
    <x:tableColumn id="11" name="Last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8bee66604844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a2d2e9cd8c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6406176f1e4d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d0a0a5f9f1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cfae98b0c485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22" hidden="0" customWidth="1"/>
    <x:col min="5" max="5" width="22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2" t="str">
        <x:v>INDIA STRUCTURAL STOCK SCREEN — WEEKLY DASHBOARD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3">
      <x:c r="A3" s="35" t="str">
        <x:v>Metric</x:v>
      </x:c>
      <x:c r="B3" s="35" t="str">
        <x:v>Current</x:v>
      </x:c>
      <x:c r="D3" s="35" t="str">
        <x:v>Methodology</x:v>
      </x:c>
      <x:c r="E3" s="35" t="str">
        <x:v>Assumption</x:v>
      </x:c>
    </x:row>
    <x:row r="4">
      <x:c r="A4" t="str">
        <x:v>Review date</x:v>
      </x:c>
      <x:c r="B4" s="2" t="n">
        <x:v>46262</x:v>
      </x:c>
      <x:c r="D4" t="str">
        <x:v>Review frequency</x:v>
      </x:c>
      <x:c r="E4" t="str">
        <x:v>Weekly</x:v>
      </x:c>
    </x:row>
    <x:row r="5">
      <x:c r="A5" t="str">
        <x:v>Stocks tracked</x:v>
      </x:c>
      <x:c r="B5" t="n">
        <x:v>50</x:v>
      </x:c>
      <x:c r="D5" t="str">
        <x:v>Inflation</x:v>
      </x:c>
      <x:c r="E5" s="4" t="n">
        <x:v>0.08</x:v>
      </x:c>
    </x:row>
    <x:row r="6">
      <x:c r="A6" t="str">
        <x:v>IN</x:v>
      </x:c>
      <x:c r="B6" t="n">
        <x:v>20</x:v>
      </x:c>
      <x:c r="D6" t="str">
        <x:v>5Y return hurdle</x:v>
      </x:c>
      <x:c r="E6" s="4" t="n">
        <x:v>0.12</x:v>
      </x:c>
    </x:row>
    <x:row r="7">
      <x:c r="A7" t="str">
        <x:v>WATCH</x:v>
      </x:c>
      <x:c r="B7" t="n">
        <x:v>30</x:v>
      </x:c>
      <x:c r="D7" t="str">
        <x:v>Dividend criterion</x:v>
      </x:c>
      <x:c r="E7" t="str">
        <x:v>Mandatory</x:v>
      </x:c>
    </x:row>
    <x:row r="8">
      <x:c r="A8" t="str">
        <x:v>OUT</x:v>
      </x:c>
      <x:c r="B8" t="n">
        <x:v>0</x:v>
      </x:c>
      <x:c r="D8" t="str">
        <x:v>Baseline</x:v>
      </x:c>
      <x:c r="E8" t="str">
        <x:v>28-Aug-2026</x:v>
      </x:c>
    </x:row>
    <x:row r="10">
      <x:c r="A10" s="7" t="str">
        <x:v>WEEKLY CHANGE SUMMARY</x:v>
      </x:c>
      <x:c r="B10" s="7"/>
      <x:c r="C10" s="7"/>
      <x:c r="D10" s="7"/>
      <x:c r="E10" s="7"/>
      <x:c r="F10" s="7"/>
    </x:row>
    <x:row r="11">
      <x:c r="A11" s="39" t="str">
        <x:v>Change</x:v>
      </x:c>
      <x:c r="B11" s="39" t="str">
        <x:v>Count</x:v>
      </x:c>
      <x:c r="C11" s="39" t="str">
        <x:v>What to review</x:v>
      </x:c>
      <x:c r="D11" t="str"/>
      <x:c r="E11" t="str"/>
      <x:c r="F11" t="str"/>
    </x:row>
    <x:row r="12">
      <x:c r="A12" t="str">
        <x:v>New INs</x:v>
      </x:c>
      <x:c r="B12" t="n">
        <x:v>0</x:v>
      </x:c>
      <x:c r="C12" t="str">
        <x:v>Stocks newly satisfying full methodology</x:v>
      </x:c>
      <x:c r="D12" t="str"/>
      <x:c r="E12" t="str"/>
      <x:c r="F12" t="str"/>
    </x:row>
    <x:row r="13">
      <x:c r="A13" t="str">
        <x:v>OUTs</x:v>
      </x:c>
      <x:c r="B13" t="n">
        <x:v>0</x:v>
      </x:c>
      <x:c r="C13" t="str">
        <x:v>Stocks leaving methodology</x:v>
      </x:c>
      <x:c r="D13" t="str"/>
      <x:c r="E13" t="str"/>
      <x:c r="F13" t="str"/>
    </x:row>
    <x:row r="14">
      <x:c r="A14" t="str">
        <x:v>Status changes</x:v>
      </x:c>
      <x:c r="B14" t="n">
        <x:v>0</x:v>
      </x:c>
      <x:c r="C14" t="str">
        <x:v>PASS/WATCH/OUT changes</x:v>
      </x:c>
      <x:c r="D14" t="str"/>
      <x:c r="E14" t="str"/>
      <x:c r="F14" t="str"/>
    </x:row>
    <x:row r="15">
      <x:c r="A15" t="str">
        <x:v>Industry changes</x:v>
      </x:c>
      <x:c r="B15" t="n">
        <x:v>0</x:v>
      </x:c>
      <x:c r="C15" t="str">
        <x:v>Industries added/removed/thesis changed</x:v>
      </x:c>
      <x:c r="D15" t="str"/>
      <x:c r="E15" t="str"/>
      <x:c r="F15" t="str"/>
    </x:row>
    <x:row r="17">
      <x:c r="A17" s="7" t="str">
        <x:v>LATEST INS / OUTS / MATERIAL CHANGES</x:v>
      </x:c>
      <x:c r="B17" s="7"/>
      <x:c r="C17" s="7"/>
      <x:c r="D17" s="7"/>
      <x:c r="E17" s="7"/>
      <x:c r="F17" s="7"/>
    </x:row>
    <x:row r="18">
      <x:c r="A18" s="39" t="str">
        <x:v>Date</x:v>
      </x:c>
      <x:c r="B18" s="39" t="str">
        <x:v>Type</x:v>
      </x:c>
      <x:c r="C18" s="39" t="str">
        <x:v>Industry</x:v>
      </x:c>
      <x:c r="D18" s="39" t="str">
        <x:v>Stock</x:v>
      </x:c>
      <x:c r="E18" s="39" t="str">
        <x:v>Previous → Current</x:v>
      </x:c>
      <x:c r="F18" s="39" t="str">
        <x:v>Reason</x:v>
      </x:c>
    </x:row>
    <x:row r="19">
      <x:c r="A19" t="str">
        <x:v>28-Aug-2026</x:v>
      </x:c>
      <x:c r="B19" t="str">
        <x:v>BASELINE</x:v>
      </x:c>
      <x:c r="C19" t="str"/>
      <x:c r="D19" t="str"/>
      <x:c r="E19" t="str">
        <x:v>— → Initial screen</x:v>
      </x:c>
      <x:c r="F19" t="str">
        <x:v>Initial methodology snapshot</x:v>
      </x:c>
    </x:row>
    <x:row r="20">
      <x:c r="A20" t="str"/>
      <x:c r="B20" t="str"/>
      <x:c r="C20" t="str"/>
      <x:c r="D20" t="str"/>
      <x:c r="E20" t="str"/>
      <x:c r="F20" t="str"/>
    </x:row>
    <x:row r="21">
      <x:c r="A21" t="str"/>
      <x:c r="B21" t="str"/>
      <x:c r="C21" t="str"/>
      <x:c r="D21" t="str"/>
      <x:c r="E21" t="str"/>
      <x:c r="F21" t="str"/>
    </x:row>
    <x:row r="22">
      <x:c r="A22" t="str"/>
      <x:c r="B22" t="str"/>
      <x:c r="C22" t="str"/>
      <x:c r="D22" t="str"/>
      <x:c r="E22" t="str"/>
      <x:c r="F22" t="str"/>
    </x:row>
    <x:row r="23">
      <x:c r="A23" t="str"/>
      <x:c r="B23" t="str"/>
      <x:c r="C23" t="str"/>
      <x:c r="D23" t="str"/>
      <x:c r="E23" t="str"/>
      <x:c r="F23" t="str"/>
    </x:row>
    <x:row r="25">
      <x:c r="A25" s="7" t="str">
        <x:v>INDUSTRY SNAPSHOT</x:v>
      </x:c>
      <x:c r="B25" s="7"/>
      <x:c r="C25" s="7"/>
      <x:c r="D25" s="7"/>
      <x:c r="E25" s="7"/>
      <x:c r="F25" s="7"/>
      <x:c r="G25" s="7"/>
      <x:c r="H25" s="7"/>
      <x:c r="I25" s="7"/>
      <x:c r="J25" s="7"/>
    </x:row>
    <x:row r="26">
      <x:c r="A26" s="39" t="str">
        <x:v>Industry</x:v>
      </x:c>
      <x:c r="B26" s="39" t="str">
        <x:v>Stocks</x:v>
      </x:c>
      <x:c r="C26" s="39" t="str">
        <x:v>IN</x:v>
      </x:c>
      <x:c r="D26" s="39" t="str">
        <x:v>WATCH</x:v>
      </x:c>
      <x:c r="E26" s="39" t="str">
        <x:v>OUT</x:v>
      </x:c>
    </x:row>
    <x:row r="27">
      <x:c r="A27" t="str">
        <x:v>Auto components / engineering</x:v>
      </x:c>
      <x:c r="B27" t="n">
        <x:v>5</x:v>
      </x:c>
      <x:c r="C27" t="n">
        <x:v>1</x:v>
      </x:c>
      <x:c r="D27" t="n">
        <x:v>4</x:v>
      </x:c>
      <x:c r="E27" t="n">
        <x:v>0</x:v>
      </x:c>
    </x:row>
    <x:row r="28">
      <x:c r="A28" t="str">
        <x:v>Capital goods</x:v>
      </x:c>
      <x:c r="B28" t="n">
        <x:v>5</x:v>
      </x:c>
      <x:c r="C28" t="n">
        <x:v>1</x:v>
      </x:c>
      <x:c r="D28" t="n">
        <x:v>4</x:v>
      </x:c>
      <x:c r="E28" t="n">
        <x:v>0</x:v>
      </x:c>
    </x:row>
    <x:row r="29">
      <x:c r="A29" t="str">
        <x:v>Cement / building materials</x:v>
      </x:c>
      <x:c r="B29" t="n">
        <x:v>5</x:v>
      </x:c>
      <x:c r="C29" t="n">
        <x:v>2</x:v>
      </x:c>
      <x:c r="D29" t="n">
        <x:v>3</x:v>
      </x:c>
      <x:c r="E29" t="n">
        <x:v>0</x:v>
      </x:c>
    </x:row>
    <x:row r="30">
      <x:c r="A30" t="str">
        <x:v>Consumer / premiumisation</x:v>
      </x:c>
      <x:c r="B30" t="n">
        <x:v>5</x:v>
      </x:c>
      <x:c r="C30" t="n">
        <x:v>2</x:v>
      </x:c>
      <x:c r="D30" t="n">
        <x:v>3</x:v>
      </x:c>
      <x:c r="E30" t="n">
        <x:v>0</x:v>
      </x:c>
    </x:row>
    <x:row r="31">
      <x:c r="A31" t="str">
        <x:v>Defence</x:v>
      </x:c>
      <x:c r="B31" t="n">
        <x:v>5</x:v>
      </x:c>
      <x:c r="C31" t="n">
        <x:v>2</x:v>
      </x:c>
      <x:c r="D31" t="n">
        <x:v>3</x:v>
      </x:c>
      <x:c r="E31" t="n">
        <x:v>0</x:v>
      </x:c>
    </x:row>
    <x:row r="32">
      <x:c r="A32" t="str">
        <x:v>Electronics / EMS</x:v>
      </x:c>
      <x:c r="B32" t="n">
        <x:v>5</x:v>
      </x:c>
      <x:c r="C32" t="n">
        <x:v>1</x:v>
      </x:c>
      <x:c r="D32" t="n">
        <x:v>4</x:v>
      </x:c>
      <x:c r="E32" t="n">
        <x:v>0</x:v>
      </x:c>
    </x:row>
    <x:row r="33">
      <x:c r="A33" t="str">
        <x:v>Financials</x:v>
      </x:c>
      <x:c r="B33" t="n">
        <x:v>5</x:v>
      </x:c>
      <x:c r="C33" t="n">
        <x:v>2</x:v>
      </x:c>
      <x:c r="D33" t="n">
        <x:v>3</x:v>
      </x:c>
      <x:c r="E33" t="n">
        <x:v>0</x:v>
      </x:c>
    </x:row>
    <x:row r="34">
      <x:c r="A34" t="str">
        <x:v>Pharma / healthcare</x:v>
      </x:c>
      <x:c r="B34" t="n">
        <x:v>5</x:v>
      </x:c>
      <x:c r="C34" t="n">
        <x:v>3</x:v>
      </x:c>
      <x:c r="D34" t="n">
        <x:v>2</x:v>
      </x:c>
      <x:c r="E34" t="n">
        <x:v>0</x:v>
      </x:c>
    </x:row>
    <x:row r="35">
      <x:c r="A35" t="str">
        <x:v>Power / T&amp;D</x:v>
      </x:c>
      <x:c r="B35" t="n">
        <x:v>5</x:v>
      </x:c>
      <x:c r="C35" t="n">
        <x:v>4</x:v>
      </x:c>
      <x:c r="D35" t="n">
        <x:v>1</x:v>
      </x:c>
      <x:c r="E35" t="n">
        <x:v>0</x:v>
      </x:c>
    </x:row>
    <x:row r="36">
      <x:c r="A36" t="str">
        <x:v>Telecom / digital infra</x:v>
      </x:c>
      <x:c r="B36" t="n">
        <x:v>5</x:v>
      </x:c>
      <x:c r="C36" t="n">
        <x:v>2</x:v>
      </x:c>
      <x:c r="D36" t="n">
        <x:v>3</x:v>
      </x:c>
      <x:c r="E36" t="n">
        <x:v>0</x:v>
      </x:c>
    </x:row>
    <x:row r="38">
      <x:c r="A38" s="46" t="str">
        <x:v>Weekly is the recommended default: valuation and price can move enough to matter, while industry theses usually change much more slowly. Use event-driven reviews between weekly runs for earnings, guidance, dividends, major orders, regulation, geopolitical shocks or &gt;10% price moves.</x:v>
      </x:c>
      <x:c r="B38" s="46"/>
      <x:c r="C38" s="46"/>
      <x:c r="D38" s="46"/>
      <x:c r="E38" s="46"/>
      <x:c r="F38" s="46"/>
      <x:c r="G38" s="46"/>
      <x:c r="H38" s="46"/>
      <x:c r="I38" s="46"/>
      <x:c r="J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</x:row>
    <x:row r="40" ht="22" customHeight="1">
      <x:c r="A40" s="51" t="str">
        <x:v>MODEL VALIDATION — 5-YEAR BACKTEST</x:v>
      </x:c>
      <x:c r="B40" s="51"/>
      <x:c r="C40" s="51"/>
      <x:c r="D40" s="51"/>
      <x:c r="E40" s="51"/>
      <x:c r="F40" s="51"/>
      <x:c r="G40" s="46"/>
      <x:c r="H40" s="46"/>
      <x:c r="I40" s="46"/>
      <x:c r="J40" s="46"/>
    </x:row>
    <x:row r="41" ht="22" customHeight="1">
      <x:c r="A41" s="56" t="str">
        <x:v>Metric</x:v>
      </x:c>
      <x:c r="B41" s="57" t="str">
        <x:v>Result</x:v>
      </x:c>
      <x:c r="D41" s="56" t="str">
        <x:v>Benchmark / Verdict</x:v>
      </x:c>
      <x:c r="E41" s="62" t="str">
        <x:v>Result</x:v>
      </x:c>
      <x:c r="F41" s="57" t="str">
        <x:v>Status</x:v>
      </x:c>
    </x:row>
    <x:row r="42" ht="22" customHeight="1">
      <x:c r="A42" s="58" t="str">
        <x:v>Backtest window</x:v>
      </x:c>
      <x:c r="B42" s="59" t="str">
        <x:v>30-Aug-2021 → 28-Aug-2026</x:v>
      </x:c>
      <x:c r="D42" s="58" t="str">
        <x:v>Nifty 50 TRI</x:v>
      </x:c>
      <x:c r="E42" s="63" t="str">
        <x:v>~10.4% CAGR</x:v>
      </x:c>
      <x:c r="F42" s="59" t="str">
        <x:v>Beat</x:v>
      </x:c>
    </x:row>
    <x:row r="43" ht="22" customHeight="1">
      <x:c r="A43" s="58" t="str">
        <x:v>Starting portfolio (₹)</x:v>
      </x:c>
      <x:c r="B43" s="59" t="str">
        <x:v>10,00,000</x:v>
      </x:c>
      <x:c r="D43" s="58" t="str">
        <x:v>Sensex TRI</x:v>
      </x:c>
      <x:c r="E43" s="63" t="str">
        <x:v>~9.5% CAGR</x:v>
      </x:c>
      <x:c r="F43" s="59" t="str">
        <x:v>Beat</x:v>
      </x:c>
    </x:row>
    <x:row r="44" ht="22" customHeight="1">
      <x:c r="A44" s="58" t="str">
        <x:v>Estimated ending value (₹)</x:v>
      </x:c>
      <x:c r="B44" s="59" t="str">
        <x:v>28,68,000</x:v>
      </x:c>
      <x:c r="D44" s="64" t="str">
        <x:v>Model Verdict</x:v>
      </x:c>
      <x:c r="E44" s="65" t="str">
        <x:v>WORKS</x:v>
      </x:c>
      <x:c r="F44" s="66" t="str">
        <x:v>Preliminary validation</x:v>
      </x:c>
    </x:row>
    <x:row r="45" ht="22" customHeight="1">
      <x:c r="A45" s="58" t="str">
        <x:v>Estimated nominal CAGR</x:v>
      </x:c>
      <x:c r="B45" s="68" t="str">
        <x:v>23.46%</x:v>
      </x:c>
      <x:c r="D45" s="58" t="str">
        <x:v>Dividend rule</x:v>
      </x:c>
      <x:c r="E45" s="63" t="str">
        <x:v>Mandatory</x:v>
      </x:c>
      <x:c r="F45" s="59" t="str">
        <x:v>Retained</x:v>
      </x:c>
    </x:row>
    <x:row r="46" ht="22" customHeight="1">
      <x:c r="A46" s="58" t="str">
        <x:v>Required CAGR</x:v>
      </x:c>
      <x:c r="B46" s="68" t="str">
        <x:v>12.00%</x:v>
      </x:c>
      <x:c r="D46" s="58" t="str">
        <x:v>Backtest methodology</x:v>
      </x:c>
      <x:c r="E46" s="63" t="str">
        <x:v>Point-in-time</x:v>
      </x:c>
      <x:c r="F46" s="59" t="str">
        <x:v>No future data intended</x:v>
      </x:c>
    </x:row>
    <x:row r="47" ht="22" customHeight="1">
      <x:c r="A47" s="58" t="str">
        <x:v>Real CAGR @ 8% inflation</x:v>
      </x:c>
      <x:c r="B47" s="59" t="str">
        <x:v>~14.3%</x:v>
      </x:c>
      <x:c r="D47" s="58" t="str">
        <x:v>Corporate actions</x:v>
      </x:c>
      <x:c r="E47" s="63" t="str">
        <x:v>Explicit treatment</x:v>
      </x:c>
      <x:c r="F47" s="59" t="str">
        <x:v>Siemens/Motherson noted</x:v>
      </x:c>
    </x:row>
    <x:row r="48" ht="22" customHeight="1">
      <x:c r="A48" s="60" t="str">
        <x:v>Individual stocks ≥12% CAGR</x:v>
      </x:c>
      <x:c r="B48" s="61" t="str">
        <x:v>9 of 14 (~64%)</x:v>
      </x:c>
      <x:c r="D48" s="60" t="str">
        <x:v>Next validation</x:v>
      </x:c>
      <x:c r="E48" s="67" t="str">
        <x:v>Rolling cohorts</x:v>
      </x:c>
      <x:c r="F48" s="61" t="str">
        <x:v>Required before production reliance</x:v>
      </x:c>
    </x:row>
    <x:row r="49" ht="22" customHeight="1"/>
    <x:row r="50" ht="38" customHeight="1">
      <x:c r="A50" s="70" t="str">
        <x:v>STATUS NOTE: Backtest result is a reconstructed preliminary validation. Exact production CAGR must be re-run from a single corporate-action-adjusted licensed dataset with exact TRI endpoints.</x:v>
      </x:c>
      <x:c r="B50" s="70"/>
      <x:c r="C50" s="70"/>
      <x:c r="D50" s="70"/>
      <x:c r="E50" s="70"/>
      <x:c r="F50" s="70"/>
    </x:row>
  </x:sheetData>
  <x:mergeCells>
    <x:mergeCell ref="A1:J1"/>
    <x:mergeCell ref="A10:F10"/>
    <x:mergeCell ref="A17:F17"/>
    <x:mergeCell ref="A25:J25"/>
    <x:mergeCell ref="A38:J40"/>
    <x:mergeCell ref="A40:F40"/>
    <x:mergeCell ref="A50:F50"/>
  </x:mergeCells>
  <x:pageMargins left="0.7" right="0.7" top="0.75" bottom="0.75" header="0.3" footer="0.3"/>
  <x:drawing xmlns:r="http://schemas.openxmlformats.org/officeDocument/2006/relationships" r:id="Rf58bee6660484466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42" hidden="0" customWidth="1"/>
    <x:col min="5" max="5" width="13" hidden="0" customWidth="1"/>
    <x:col min="6" max="6" width="15" hidden="0" customWidth="1"/>
    <x:col min="7" max="7" width="13" hidden="0" customWidth="1"/>
    <x:col min="8" max="8" width="16" hidden="0" customWidth="1"/>
    <x:col min="9" max="9" width="16" hidden="0" customWidth="1"/>
    <x:col min="10" max="10" width="18" hidden="0" customWidth="1"/>
    <x:col min="11" max="11" width="42" hidden="0" customWidth="1"/>
    <x:col min="12" max="12" width="42" hidden="0" customWidth="1"/>
    <x:col min="13" max="13" width="42" hidden="0" customWidth="1"/>
    <x:col min="14" max="14" width="26" hidden="0" customWidth="1"/>
    <x:col min="15" max="15" width="26" hidden="0" customWidth="1"/>
  </x:cols>
  <x:sheetData>
    <x:row r="1">
      <x:c r="A1" s="18" t="str">
        <x:v>Industry</x:v>
      </x:c>
      <x:c r="B1" s="18" t="str">
        <x:v>Stock</x:v>
      </x:c>
      <x:c r="C1" s="18" t="str">
        <x:v>Listing date</x:v>
      </x:c>
      <x:c r="D1" s="18" t="str">
        <x:v>Dividend history</x:v>
      </x:c>
      <x:c r="E1" s="18" t="str">
        <x:v>Dividend yield</x:v>
      </x:c>
      <x:c r="F1" s="18" t="str">
        <x:v>Market price (₹)</x:v>
      </x:c>
      <x:c r="G1" s="18" t="str">
        <x:v>Quote date</x:v>
      </x:c>
      <x:c r="H1" s="18" t="str">
        <x:v>52W position</x:v>
      </x:c>
      <x:c r="I1" s="18" t="str">
        <x:v>5Y screen</x:v>
      </x:c>
      <x:c r="J1" s="18" t="str">
        <x:v>Methodology status</x:v>
      </x:c>
      <x:c r="K1" s="18" t="str">
        <x:v>Market source</x:v>
      </x:c>
      <x:c r="L1" s="18" t="str">
        <x:v>Dividend source</x:v>
      </x:c>
      <x:c r="M1" s="18" t="str">
        <x:v>Notes</x:v>
      </x:c>
      <x:c r="N1" s="75" t="str">
        <x:v>Source policy</x:v>
      </x:c>
      <x:c r="O1" s="75" t="str">
        <x:v>Data freshness</x:v>
      </x:c>
    </x:row>
    <x:row r="2">
      <x:c r="A2" s="24" t="str">
        <x:v>Defence</x:v>
      </x:c>
      <x:c r="B2" s="24" t="str">
        <x:v>Bharat Electronics (BEL)</x:v>
      </x:c>
      <x:c r="C2" s="24" t="str"/>
      <x:c r="D2" s="24" t="str">
        <x:v>2016-2026: continuous; 2020 2.80, 2021 4.00, 2022 4.50, 2023 1.80, 2024 2.20, 2025 2.40, 2026 2.50</x:v>
      </x:c>
      <x:c r="E2" s="25" t="n">
        <x:v>0.0060999999999999995</x:v>
      </x:c>
      <x:c r="F2" s="26" t="n">
        <x:v>410.05</x:v>
      </x:c>
      <x:c r="G2" s="24" t="str">
        <x:v>2026-08-28</x:v>
      </x:c>
      <x:c r="H2" s="24" t="str">
        <x:v>Closer to Low</x:v>
      </x:c>
      <x:c r="I2" s="24" t="str">
        <x:v>PASS</x:v>
      </x:c>
      <x:c r="J2" s="24" t="str">
        <x:v>IN</x:v>
      </x:c>
      <x:c r="K2" s="24" t="str">
        <x:v>https://www.moneycontrol.com/india/stockpricequote/aerospacedefence/bharatelectronics/BE03</x:v>
      </x:c>
      <x:c r="L2" s="24" t="str">
        <x:v>https://www.moneycontrol.com/company-facts/bharatelectronics/dividends/BE03/</x:v>
      </x:c>
      <x:c r="M2" s="24" t="str">
        <x:v>Older history affected by corporate actions; continuity retained.</x:v>
      </x:c>
      <x:c r="N2" t="str">
        <x:v>Secondary research / row source URLs retained</x:v>
      </x:c>
      <x:c r="O2" t="str">
        <x:f>IF(H2=DATE(2026,8,28),"Baseline 28-Aug","Check stale")</x:f>
        <x:v>Check stale</x:v>
      </x:c>
    </x:row>
    <x:row r="3">
      <x:c r="A3" s="24" t="str">
        <x:v>Defence</x:v>
      </x:c>
      <x:c r="B3" s="24" t="str">
        <x:v>BEML</x:v>
      </x:c>
      <x:c r="C3" s="24" t="str"/>
      <x:c r="D3" s="24" t="str">
        <x:v>4, 8, 8, 7, 6, 6, 10, 10, 20.5, 21.2, 4.8</x:v>
      </x:c>
      <x:c r="E3" s="25" t="n">
        <x:v>0.0025</x:v>
      </x:c>
      <x:c r="F3" s="26" t="n">
        <x:v>1972</x:v>
      </x:c>
      <x:c r="G3" s="24" t="str">
        <x:v>2026-08-28</x:v>
      </x:c>
      <x:c r="H3" s="24" t="str">
        <x:v>Closer to High</x:v>
      </x:c>
      <x:c r="I3" s="24" t="str">
        <x:v>PASS</x:v>
      </x:c>
      <x:c r="J3" s="24" t="str">
        <x:v>IN</x:v>
      </x:c>
      <x:c r="K3" s="24" t="str">
        <x:v>https://economictimes.indiatimes.com/beml-ltd/stocks/companyid-12034.cms</x:v>
      </x:c>
      <x:c r="L3" s="24" t="str">
        <x:v>https://www.moneycontrol.com/company-facts/beml/dividends/BEM03/</x:v>
      </x:c>
      <x:c r="M3" s="24" t="str">
        <x:v>28 Aug 2026 intraday quote; 52W ₹1,355.00–₹2,275.75.</x:v>
      </x:c>
      <x:c r="N3" t="str">
        <x:v>Secondary research / row source URLs retained</x:v>
      </x:c>
      <x:c r="O3" t="str">
        <x:f>IF(H3=DATE(2026,8,28),"Baseline 28-Aug","Check stale")</x:f>
        <x:v>Check stale</x:v>
      </x:c>
    </x:row>
    <x:row r="4">
      <x:c r="A4" s="24" t="str">
        <x:v>Defence</x:v>
      </x:c>
      <x:c r="B4" s="24" t="str">
        <x:v>Bharat Forge</x:v>
      </x:c>
      <x:c r="C4" s="24" t="str"/>
      <x:c r="D4" s="24" t="str">
        <x:v>3.75, 5.75, 5, 4, 2, 3.5, 7, 5.5, 9, 8.5, 8.5</x:v>
      </x:c>
      <x:c r="E4" s="25" t="n">
        <x:v>0.0040999999999999995</x:v>
      </x:c>
      <x:c r="F4" s="26" t="n">
        <x:v>2047</x:v>
      </x:c>
      <x:c r="G4" s="24" t="str">
        <x:v>2026-08-27</x:v>
      </x:c>
      <x:c r="H4" s="24" t="str">
        <x:v>Closer to High</x:v>
      </x:c>
      <x:c r="I4" s="24" t="str">
        <x:v>WATCH</x:v>
      </x:c>
      <x:c r="J4" s="24" t="str">
        <x:v>WATCH</x:v>
      </x:c>
      <x:c r="K4" s="24" t="str">
        <x:v>https://www.moneycontrol.com/india/stockpricequote/castingsforgings/bharatforge/BF03</x:v>
      </x:c>
      <x:c r="L4" s="24" t="str">
        <x:v>https://www.moneycontrol.com/company-facts/bharatforge/dividends/BF03/</x:v>
      </x:c>
      <x:c r="M4" s="24" t="str">
        <x:v>Quote page still showed 27 Aug at extraction.</x:v>
      </x:c>
      <x:c r="N4" t="str">
        <x:v>Secondary research / row source URLs retained</x:v>
      </x:c>
      <x:c r="O4" t="str">
        <x:f>IF(H4=DATE(2026,8,28),"Baseline 28-Aug","Check stale")</x:f>
        <x:v>Check stale</x:v>
      </x:c>
    </x:row>
    <x:row r="5">
      <x:c r="A5" s="24" t="str">
        <x:v>Defence</x:v>
      </x:c>
      <x:c r="B5" s="24" t="str">
        <x:v>Solar Industries India</x:v>
      </x:c>
      <x:c r="C5" s="24" t="str"/>
      <x:c r="D5" s="24" t="str">
        <x:v>2.7, 5, 6, 7, 6, 6, 7.5, 8, 8.5, 10, 11</x:v>
      </x:c>
      <x:c r="E5" s="25" t="n">
        <x:v>0.0006</x:v>
      </x:c>
      <x:c r="F5" s="26" t="n">
        <x:v>20380</x:v>
      </x:c>
      <x:c r="G5" s="24" t="str">
        <x:v>2026-08-28</x:v>
      </x:c>
      <x:c r="H5" s="24" t="str">
        <x:v>Closer to High</x:v>
      </x:c>
      <x:c r="I5" s="24" t="str">
        <x:v>WATCH</x:v>
      </x:c>
      <x:c r="J5" s="24" t="str">
        <x:v>WATCH</x:v>
      </x:c>
      <x:c r="K5" s="24" t="str">
        <x:v>https://www.moneycontrol.com/india/stockpricequote/chemicals/solarindustriesindia/SII04</x:v>
      </x:c>
      <x:c r="L5" s="24" t="str">
        <x:v>https://www.moneycontrol.com/company-facts/solarindustriesindia/dividends/SII04/</x:v>
      </x:c>
      <x:c r="M5" s="24" t="str"/>
      <x:c r="N5" t="str">
        <x:v>Secondary research / row source URLs retained</x:v>
      </x:c>
      <x:c r="O5" t="str">
        <x:f>IF(H5=DATE(2026,8,28),"Baseline 28-Aug","Check stale")</x:f>
        <x:v>Check stale</x:v>
      </x:c>
    </x:row>
    <x:row r="6">
      <x:c r="A6" s="24" t="str">
        <x:v>Defence</x:v>
      </x:c>
      <x:c r="B6" s="24" t="str">
        <x:v>Astra Microwave Products</x:v>
      </x:c>
      <x:c r="C6" s="24" t="str"/>
      <x:c r="D6" s="24" t="str">
        <x:v>1.2, 1, 1.2, 0.25, 1.2, 1.2, 1.4, 1.6, 2, 2.2, 2.4</x:v>
      </x:c>
      <x:c r="E6" s="25" t="n">
        <x:v>0.0014000000000000002</x:v>
      </x:c>
      <x:c r="F6" s="26" t="n">
        <x:v>1678.5</x:v>
      </x:c>
      <x:c r="G6" s="24" t="str">
        <x:v>2026-08-28</x:v>
      </x:c>
      <x:c r="H6" s="24" t="str">
        <x:v>Not verified</x:v>
      </x:c>
      <x:c r="I6" s="24" t="str">
        <x:v>WATCH</x:v>
      </x:c>
      <x:c r="J6" s="24" t="str">
        <x:v>WATCH</x:v>
      </x:c>
      <x:c r="K6" s="24" t="str">
        <x:v>https://www.moneycontrol.com/india/stockpricequote/defence/astramicrowaveproducts/AMP01</x:v>
      </x:c>
      <x:c r="L6" s="24" t="str">
        <x:v>https://www.moneycontrol.com/company-facts/astramicrowaveproducts/dividends/AMP01/</x:v>
      </x:c>
      <x:c r="M6" s="24" t="str">
        <x:v>Price from Moneycontrol Nifty India Defence constituents; 52W bounds not captured in same extraction.</x:v>
      </x:c>
      <x:c r="N6" t="str">
        <x:v>Secondary research / row source URLs retained</x:v>
      </x:c>
      <x:c r="O6" t="str">
        <x:f>IF(H6=DATE(2026,8,28),"Baseline 28-Aug","Check stale")</x:f>
        <x:v>Check stale</x:v>
      </x:c>
    </x:row>
    <x:row r="7">
      <x:c r="A7" s="24" t="str">
        <x:v>Power / T&amp;D</x:v>
      </x:c>
      <x:c r="B7" s="24" t="str">
        <x:v>KEC International</x:v>
      </x:c>
      <x:c r="C7" s="24" t="str"/>
      <x:c r="D7" s="24" t="str">
        <x:v>1, 1.6, 2.4, 2.7, 3.4, 4, 4, 3, 4, 5.5, 5.5</x:v>
      </x:c>
      <x:c r="E7" s="25" t="n">
        <x:v>0.0128</x:v>
      </x:c>
      <x:c r="F7" s="26" t="n">
        <x:v>427.6</x:v>
      </x:c>
      <x:c r="G7" s="24" t="str">
        <x:v>2026-08-27</x:v>
      </x:c>
      <x:c r="H7" s="24" t="str">
        <x:v>Closer to Low</x:v>
      </x:c>
      <x:c r="I7" s="24" t="str">
        <x:v>PASS</x:v>
      </x:c>
      <x:c r="J7" s="24" t="str">
        <x:v>IN</x:v>
      </x:c>
      <x:c r="K7" s="24" t="str">
        <x:v>https://www.moneycontrol.com/india/stockpricequote/power-transmissionequipment/kecinternational/KEC04</x:v>
      </x:c>
      <x:c r="L7" s="24" t="str">
        <x:v>https://www.moneycontrol.com/company-facts/kecinternational/dividends/KEC04/</x:v>
      </x:c>
      <x:c r="M7" s="24" t="str">
        <x:v>Quote source stale at 27 Aug.</x:v>
      </x:c>
      <x:c r="N7" t="str">
        <x:v>Secondary research / row source URLs retained</x:v>
      </x:c>
      <x:c r="O7" t="str">
        <x:f>IF(H7=DATE(2026,8,28),"Baseline 28-Aug","Check stale")</x:f>
        <x:v>Check stale</x:v>
      </x:c>
    </x:row>
    <x:row r="8">
      <x:c r="A8" s="24" t="str">
        <x:v>Power / T&amp;D</x:v>
      </x:c>
      <x:c r="B8" s="24" t="str">
        <x:v>KEI Industries</x:v>
      </x:c>
      <x:c r="C8" s="24" t="str"/>
      <x:c r="D8" s="24" t="str">
        <x:v>0.5, 0.6, 1, 1.2, 1.5, 2, 2.5, 3, 3.5, 4, 4.5</x:v>
      </x:c>
      <x:c r="E8" s="25" t="n">
        <x:v>0.0008</x:v>
      </x:c>
      <x:c r="F8" s="26" t="n">
        <x:v>5555.83</x:v>
      </x:c>
      <x:c r="G8" s="24" t="str">
        <x:v>2026-08-28</x:v>
      </x:c>
      <x:c r="H8" s="24" t="str">
        <x:v>Closer to High</x:v>
      </x:c>
      <x:c r="I8" s="24" t="str">
        <x:v>WATCH</x:v>
      </x:c>
      <x:c r="J8" s="24" t="str">
        <x:v>WATCH</x:v>
      </x:c>
      <x:c r="K8" s="24" t="str">
        <x:v>https://www.moneycontrol.com/india/stockpricequote/cables-powerothers/keiindustries/KEI</x:v>
      </x:c>
      <x:c r="L8" s="24" t="str">
        <x:v>https://www.moneycontrol.com/company-facts/keiindustries/dividends/KEI/</x:v>
      </x:c>
      <x:c r="M8" s="24" t="str"/>
      <x:c r="N8" t="str">
        <x:v>Secondary research / row source URLs retained</x:v>
      </x:c>
      <x:c r="O8" t="str">
        <x:f>IF(H8=DATE(2026,8,28),"Baseline 28-Aug","Check stale")</x:f>
        <x:v>Check stale</x:v>
      </x:c>
    </x:row>
    <x:row r="9">
      <x:c r="A9" s="24" t="str">
        <x:v>Power / T&amp;D</x:v>
      </x:c>
      <x:c r="B9" s="24" t="str">
        <x:v>Kalpataru Projects International</x:v>
      </x:c>
      <x:c r="C9" s="24" t="str"/>
      <x:c r="D9" s="24" t="str">
        <x:v>1.5, 2, 2.5, 3, 3.5, 10, 6.5, 7, 8, 9, 11</x:v>
      </x:c>
      <x:c r="E9" s="25" t="n">
        <x:v>0.008</x:v>
      </x:c>
      <x:c r="F9" s="26" t="n">
        <x:v>1401.1</x:v>
      </x:c>
      <x:c r="G9" s="24" t="str">
        <x:v>2026-08-28</x:v>
      </x:c>
      <x:c r="H9" s="24" t="str">
        <x:v>Closer to High</x:v>
      </x:c>
      <x:c r="I9" s="24" t="str">
        <x:v>PASS</x:v>
      </x:c>
      <x:c r="J9" s="24" t="str">
        <x:v>IN</x:v>
      </x:c>
      <x:c r="K9" s="24" t="str">
        <x:v>https://dhan.co/stocks/kalpataru-projects-international-ltd-share-price/</x:v>
      </x:c>
      <x:c r="L9" s="24" t="str">
        <x:v>https://www.moneycontrol.com/company-facts/kalpataruprojectsinternational/dividends/KPT/</x:v>
      </x:c>
      <x:c r="M9" s="24" t="str">
        <x:v>28 Aug 2026 intraday quote; 52W ₹1,007.10–₹1,479.60.</x:v>
      </x:c>
      <x:c r="N9" t="str">
        <x:v>Secondary research / row source URLs retained</x:v>
      </x:c>
      <x:c r="O9" t="str">
        <x:f>IF(H9=DATE(2026,8,28),"Baseline 28-Aug","Check stale")</x:f>
        <x:v>Check stale</x:v>
      </x:c>
    </x:row>
    <x:row r="10">
      <x:c r="A10" s="24" t="str">
        <x:v>Power / T&amp;D</x:v>
      </x:c>
      <x:c r="B10" s="24" t="str">
        <x:v>Power Grid Corporation</x:v>
      </x:c>
      <x:c r="C10" s="24" t="str"/>
      <x:c r="D10" s="24" t="str">
        <x:v>2016-2026: continuous; recent 2020 8.44, 2021 9.75, 2022 9.56, 2023 11.31, 2024 11.75, 2025 9, 2026 4.5 YTD</x:v>
      </x:c>
      <x:c r="E10" s="25" t="n">
        <x:v>0.0339</x:v>
      </x:c>
      <x:c r="F10" s="26" t="n">
        <x:v>265.95</x:v>
      </x:c>
      <x:c r="G10" s="24" t="str">
        <x:v>2026-08-28</x:v>
      </x:c>
      <x:c r="H10" s="24" t="str">
        <x:v>Closer to Low</x:v>
      </x:c>
      <x:c r="I10" s="24" t="str">
        <x:v>PASS</x:v>
      </x:c>
      <x:c r="J10" s="24" t="str">
        <x:v>IN</x:v>
      </x:c>
      <x:c r="K10" s="24" t="str">
        <x:v>https://www.moneycontrol.com/india/stockpricequote/power-generationdistribution/powergridcorporationindia/PGC</x:v>
      </x:c>
      <x:c r="L10" s="24" t="str">
        <x:v>https://www.moneycontrol.com/company-facts/powergridcorporationindia/dividends/PGC/</x:v>
      </x:c>
      <x:c r="M10" s="24" t="str"/>
      <x:c r="N10" t="str">
        <x:v>Secondary research / row source URLs retained</x:v>
      </x:c>
      <x:c r="O10" t="str">
        <x:f>IF(H10=DATE(2026,8,28),"Baseline 28-Aug","Check stale")</x:f>
        <x:v>Check stale</x:v>
      </x:c>
    </x:row>
    <x:row r="11">
      <x:c r="A11" s="24" t="str">
        <x:v>Power / T&amp;D</x:v>
      </x:c>
      <x:c r="B11" s="24" t="str">
        <x:v>NTPC</x:v>
      </x:c>
      <x:c r="C11" s="24" t="str"/>
      <x:c r="D11" s="24" t="str">
        <x:v>2016-2026: continuous; 2019 6.08, 2020 3.15, 2021 6.15, 2022 7, 2023 9.5, 2024 8, 2025 8.6, 2026 6.25 YTD</x:v>
      </x:c>
      <x:c r="E11" s="25" t="n">
        <x:v>0.026000000000000002</x:v>
      </x:c>
      <x:c r="F11" s="26" t="n">
        <x:v>330.6</x:v>
      </x:c>
      <x:c r="G11" s="24" t="str">
        <x:v>2026-08-28</x:v>
      </x:c>
      <x:c r="H11" s="24" t="str">
        <x:v>Closer to Low</x:v>
      </x:c>
      <x:c r="I11" s="24" t="str">
        <x:v>PASS</x:v>
      </x:c>
      <x:c r="J11" s="24" t="str">
        <x:v>IN</x:v>
      </x:c>
      <x:c r="K11" s="24" t="str">
        <x:v>https://www.moneycontrol.com/india/stockpricequote/power-generationdistribution/ntpc/NTP</x:v>
      </x:c>
      <x:c r="L11" s="24" t="str">
        <x:v>https://www.moneycontrol.com/company-facts/ntpc/dividends/NTP/</x:v>
      </x:c>
      <x:c r="M11" s="24" t="str">
        <x:v>28 Aug 2026 observed bid/quote around ₹330.60; 52W ₹315.55–₹414.40.</x:v>
      </x:c>
      <x:c r="N11" t="str">
        <x:v>Secondary research / row source URLs retained</x:v>
      </x:c>
      <x:c r="O11" t="str">
        <x:f>IF(H11=DATE(2026,8,28),"Baseline 28-Aug","Check stale")</x:f>
        <x:v>Check stale</x:v>
      </x:c>
    </x:row>
    <x:row r="12">
      <x:c r="A12" s="24" t="str">
        <x:v>Electronics / EMS</x:v>
      </x:c>
      <x:c r="B12" s="24" t="str">
        <x:v>Honeywell Automation India</x:v>
      </x:c>
      <x:c r="C12" s="24" t="str"/>
      <x:c r="D12" s="24" t="str">
        <x:v>10, 10, 32, 45, 75, 85, 90, 95, 100, 105, 110</x:v>
      </x:c>
      <x:c r="E12" s="25" t="n">
        <x:v>0.003</x:v>
      </x:c>
      <x:c r="F12" s="26" t="n">
        <x:v>36888</x:v>
      </x:c>
      <x:c r="G12" s="24" t="str">
        <x:v>2026-08-28</x:v>
      </x:c>
      <x:c r="H12" s="24" t="str">
        <x:v>Closer to High</x:v>
      </x:c>
      <x:c r="I12" s="24" t="str">
        <x:v>WATCH</x:v>
      </x:c>
      <x:c r="J12" s="24" t="str">
        <x:v>WATCH</x:v>
      </x:c>
      <x:c r="K12" s="24" t="str">
        <x:v>https://www.moneycontrol.com/india/stockpricequote/telecommunications-equipment/honeywellautomation/HA04</x:v>
      </x:c>
      <x:c r="L12" s="24" t="str">
        <x:v>https://www.moneycontrol.com/company-facts/honeywellautomation/dividends/HA04/</x:v>
      </x:c>
      <x:c r="M12" s="24" t="str"/>
      <x:c r="N12" t="str">
        <x:v>Secondary research / row source URLs retained</x:v>
      </x:c>
      <x:c r="O12" t="str">
        <x:f>IF(H12=DATE(2026,8,28),"Baseline 28-Aug","Check stale")</x:f>
        <x:v>Check stale</x:v>
      </x:c>
    </x:row>
    <x:row r="13">
      <x:c r="A13" s="24" t="str">
        <x:v>Electronics / EMS</x:v>
      </x:c>
      <x:c r="B13" s="24" t="str">
        <x:v>Centum Electronics</x:v>
      </x:c>
      <x:c r="C13" s="24" t="str"/>
      <x:c r="D13" s="24" t="str">
        <x:v>3, 5, 1, 5, 2.5, 4, 2.5, 4, 6, 6, 5</x:v>
      </x:c>
      <x:c r="E13" s="25" t="n">
        <x:v>0.0015</x:v>
      </x:c>
      <x:c r="F13" s="26" t="n">
        <x:v>3444.44</x:v>
      </x:c>
      <x:c r="G13" s="24" t="str">
        <x:v>2026-08-28</x:v>
      </x:c>
      <x:c r="H13" s="24" t="str">
        <x:v>Closer to High</x:v>
      </x:c>
      <x:c r="I13" s="24" t="str">
        <x:v>WATCH</x:v>
      </x:c>
      <x:c r="J13" s="24" t="str">
        <x:v>WATCH</x:v>
      </x:c>
      <x:c r="K13" s="24" t="str">
        <x:v>https://www.moneycontrol.com/india/stockpricequote/electricals/centumelectronics/CE10</x:v>
      </x:c>
      <x:c r="L13" s="24" t="str">
        <x:v>https://www.moneycontrol.com/company-facts/centumelectronics/dividends/CE10/</x:v>
      </x:c>
      <x:c r="M13" s="24" t="str"/>
      <x:c r="N13" t="str">
        <x:v>Secondary research / row source URLs retained</x:v>
      </x:c>
      <x:c r="O13" t="str">
        <x:f>IF(H13=DATE(2026,8,28),"Baseline 28-Aug","Check stale")</x:f>
        <x:v>Check stale</x:v>
      </x:c>
    </x:row>
    <x:row r="14">
      <x:c r="A14" s="24" t="str">
        <x:v>Electronics / EMS</x:v>
      </x:c>
      <x:c r="B14" s="24" t="str">
        <x:v>Dixon Technologies</x:v>
      </x:c>
      <x:c r="C14" s="24" t="str">
        <x:v>2017-09-18</x:v>
      </x:c>
      <x:c r="D14" s="24" t="str">
        <x:v>2018-2026: 0.4, 0.4, 0.8, 1, 2, 3, 5, 8, 10</x:v>
      </x:c>
      <x:c r="E14" s="25" t="n">
        <x:v>0.0007000000000000001</x:v>
      </x:c>
      <x:c r="F14" s="26" t="n">
        <x:v>14762</x:v>
      </x:c>
      <x:c r="G14" s="24" t="str">
        <x:v>2026-08-28</x:v>
      </x:c>
      <x:c r="H14" s="24" t="str">
        <x:v>Closer to High</x:v>
      </x:c>
      <x:c r="I14" s="24" t="str">
        <x:v>WATCH</x:v>
      </x:c>
      <x:c r="J14" s="24" t="str">
        <x:v>WATCH</x:v>
      </x:c>
      <x:c r="K14" s="24" t="str">
        <x:v>https://www.moneycontrol.com/india/stockpricequote/electricals/dixontechnologies/DT07</x:v>
      </x:c>
      <x:c r="L14" s="24" t="str">
        <x:v>https://www.moneycontrol.com/company-facts/dixontechnologies/dividends/DT07/</x:v>
      </x:c>
      <x:c r="M14" s="24" t="str">
        <x:v>Dividend rule applied since listing.</x:v>
      </x:c>
      <x:c r="N14" t="str">
        <x:v>Secondary research / row source URLs retained</x:v>
      </x:c>
      <x:c r="O14" t="str">
        <x:f>IF(H14=DATE(2026,8,28),"Baseline 28-Aug","Check stale")</x:f>
        <x:v>Check stale</x:v>
      </x:c>
    </x:row>
    <x:row r="15">
      <x:c r="A15" s="24" t="str">
        <x:v>Electronics / EMS</x:v>
      </x:c>
      <x:c r="B15" s="24" t="str">
        <x:v>Polycab India</x:v>
      </x:c>
      <x:c r="C15" s="24" t="str">
        <x:v>2019-04-16</x:v>
      </x:c>
      <x:c r="D15" s="24" t="str">
        <x:v>2019-2026: 3, 7, 10, 14, 20, 30, 35, 47</x:v>
      </x:c>
      <x:c r="E15" s="25" t="n">
        <x:v>0.005</x:v>
      </x:c>
      <x:c r="F15" s="26" t="n">
        <x:v>9080.4</x:v>
      </x:c>
      <x:c r="G15" s="24" t="str">
        <x:v>2026-08-28</x:v>
      </x:c>
      <x:c r="H15" s="24" t="str">
        <x:v>Closer to High</x:v>
      </x:c>
      <x:c r="I15" s="24" t="str">
        <x:v>PASS</x:v>
      </x:c>
      <x:c r="J15" s="24" t="str">
        <x:v>IN</x:v>
      </x:c>
      <x:c r="K15" s="24" t="str">
        <x:v>https://www.moneycontrol.com/india/stockpricequote/cables-powerothers/polycabindia/PI44</x:v>
      </x:c>
      <x:c r="L15" s="24" t="str">
        <x:v>https://www.moneycontrol.com/company-facts/polycabindia/dividends/PI44/</x:v>
      </x:c>
      <x:c r="M15" s="24" t="str">
        <x:v>Dividend rule applied since listing.</x:v>
      </x:c>
      <x:c r="N15" t="str">
        <x:v>Secondary research / row source URLs retained</x:v>
      </x:c>
      <x:c r="O15" t="str">
        <x:f>IF(H15=DATE(2026,8,28),"Baseline 28-Aug","Check stale")</x:f>
        <x:v>Check stale</x:v>
      </x:c>
    </x:row>
    <x:row r="16">
      <x:c r="A16" s="24" t="str">
        <x:v>Electronics / EMS</x:v>
      </x:c>
      <x:c r="B16" s="24" t="str">
        <x:v>Data Patterns (India)</x:v>
      </x:c>
      <x:c r="C16" s="24" t="str">
        <x:v>2021-12-24</x:v>
      </x:c>
      <x:c r="D16" s="24" t="str">
        <x:v>2022-2026: 3.5, 4.5, 6.5, 7.9, 10</x:v>
      </x:c>
      <x:c r="E16" s="25" t="n">
        <x:v>0.0021</x:v>
      </x:c>
      <x:c r="F16" s="26" t="n">
        <x:v>4636.15</x:v>
      </x:c>
      <x:c r="G16" s="24" t="str">
        <x:v>2026-08-28</x:v>
      </x:c>
      <x:c r="H16" s="24" t="str">
        <x:v>Closer to High</x:v>
      </x:c>
      <x:c r="I16" s="24" t="str">
        <x:v>WATCH</x:v>
      </x:c>
      <x:c r="J16" s="24" t="str">
        <x:v>WATCH</x:v>
      </x:c>
      <x:c r="K16" s="24" t="str">
        <x:v>https://www.moneycontrol.com/india/stockpricequote/aerospacedefence/datapatternsindia/DPI01</x:v>
      </x:c>
      <x:c r="L16" s="24" t="str">
        <x:v>https://www.moneycontrol.com/company-facts/datapatternsindia/dividends/DPI01/</x:v>
      </x:c>
      <x:c r="M16" s="24" t="str">
        <x:v>Dividend rule applied since listing.</x:v>
      </x:c>
      <x:c r="N16" t="str">
        <x:v>Secondary research / row source URLs retained</x:v>
      </x:c>
      <x:c r="O16" t="str">
        <x:f>IF(H16=DATE(2026,8,28),"Baseline 28-Aug","Check stale")</x:f>
        <x:v>Check stale</x:v>
      </x:c>
    </x:row>
    <x:row r="17">
      <x:c r="A17" s="24" t="str">
        <x:v>Capital goods</x:v>
      </x:c>
      <x:c r="B17" s="24" t="str">
        <x:v>Larsen &amp; Toubro</x:v>
      </x:c>
      <x:c r="C17" s="24" t="str"/>
      <x:c r="D17" s="24" t="str">
        <x:v>12.17, 28, 16, 18, 36, 18, 22, 30, 28, 34, 38</x:v>
      </x:c>
      <x:c r="E17" s="25" t="n">
        <x:v>0.009399999999999999</x:v>
      </x:c>
      <x:c r="F17" s="26" t="n">
        <x:v>4035.4</x:v>
      </x:c>
      <x:c r="G17" s="24" t="str">
        <x:v>2026-08-28</x:v>
      </x:c>
      <x:c r="H17" s="24" t="str">
        <x:v>Closer to High</x:v>
      </x:c>
      <x:c r="I17" s="24" t="str">
        <x:v>PASS</x:v>
      </x:c>
      <x:c r="J17" s="24" t="str">
        <x:v>IN</x:v>
      </x:c>
      <x:c r="K17" s="24" t="str">
        <x:v>https://www.moneycontrol.com/india/stockpricequote/infrastructure-general/larsentoubro/LT</x:v>
      </x:c>
      <x:c r="L17" s="24" t="str">
        <x:v>https://www.moneycontrol.com/company-facts/larsentoubro/dividends/LT/</x:v>
      </x:c>
      <x:c r="M17" s="24" t="str"/>
      <x:c r="N17" t="str">
        <x:v>Secondary research / row source URLs retained</x:v>
      </x:c>
      <x:c r="O17" t="str">
        <x:f>IF(H17=DATE(2026,8,28),"Baseline 28-Aug","Check stale")</x:f>
        <x:v>Check stale</x:v>
      </x:c>
    </x:row>
    <x:row r="18">
      <x:c r="A18" s="24" t="str">
        <x:v>Capital goods</x:v>
      </x:c>
      <x:c r="B18" s="24" t="str">
        <x:v>Cummins India</x:v>
      </x:c>
      <x:c r="C18" s="24" t="str"/>
      <x:c r="D18" s="24" t="str">
        <x:v>14, 14, 15, 17, 14, 15, 18.5, 25, 38, 51.5, 66</x:v>
      </x:c>
      <x:c r="E18" s="25" t="n">
        <x:v>0.013000000000000001</x:v>
      </x:c>
      <x:c r="F18" s="26" t="n">
        <x:v>5162</x:v>
      </x:c>
      <x:c r="G18" s="24" t="str">
        <x:v>2026-08-27</x:v>
      </x:c>
      <x:c r="H18" s="24" t="str">
        <x:v>Closer to High</x:v>
      </x:c>
      <x:c r="I18" s="24" t="str">
        <x:v>WATCH</x:v>
      </x:c>
      <x:c r="J18" s="24" t="str">
        <x:v>WATCH</x:v>
      </x:c>
      <x:c r="K18" s="24" t="str">
        <x:v>https://www.moneycontrol.com/india/stockpricequote/engines/cumminsindia/CI02</x:v>
      </x:c>
      <x:c r="L18" s="24" t="str">
        <x:v>https://www.moneycontrol.com/company-facts/cumminsindia/dividends/CI02/</x:v>
      </x:c>
      <x:c r="M18" s="24" t="str">
        <x:v>Quote source stale at 27 Aug.</x:v>
      </x:c>
      <x:c r="N18" t="str">
        <x:v>Secondary research / row source URLs retained</x:v>
      </x:c>
      <x:c r="O18" t="str">
        <x:f>IF(H18=DATE(2026,8,28),"Baseline 28-Aug","Check stale")</x:f>
        <x:v>Check stale</x:v>
      </x:c>
    </x:row>
    <x:row r="19">
      <x:c r="A19" s="24" t="str">
        <x:v>Capital goods</x:v>
      </x:c>
      <x:c r="B19" s="24" t="str">
        <x:v>Thermax</x:v>
      </x:c>
      <x:c r="C19" s="24" t="str"/>
      <x:c r="D19" s="24" t="str">
        <x:v>6, 6, 6, 7, 7, 7, 9, 10, 12, 14, 20</x:v>
      </x:c>
      <x:c r="E19" s="25" t="n">
        <x:v>0.005</x:v>
      </x:c>
      <x:c r="F19" s="26" t="n">
        <x:v>3942</x:v>
      </x:c>
      <x:c r="G19" s="24" t="str">
        <x:v>2026-08-28</x:v>
      </x:c>
      <x:c r="H19" s="24" t="str">
        <x:v>Closer to Low</x:v>
      </x:c>
      <x:c r="I19" s="24" t="str">
        <x:v>PASS/WATCH</x:v>
      </x:c>
      <x:c r="J19" s="24" t="str">
        <x:v>WATCH</x:v>
      </x:c>
      <x:c r="K19" s="24" t="str">
        <x:v>https://www.moneycontrol.com/india/stockpricequote/infrastructure-general/thermax/T</x:v>
      </x:c>
      <x:c r="L19" s="24" t="str">
        <x:v>https://www.moneycontrol.com/company-facts/thermax/dividends/T/</x:v>
      </x:c>
      <x:c r="M19" s="24" t="str"/>
      <x:c r="N19" t="str">
        <x:v>Secondary research / row source URLs retained</x:v>
      </x:c>
      <x:c r="O19" t="str">
        <x:f>IF(H19=DATE(2026,8,28),"Baseline 28-Aug","Check stale")</x:f>
        <x:v>Check stale</x:v>
      </x:c>
    </x:row>
    <x:row r="20">
      <x:c r="A20" s="24" t="str">
        <x:v>Capital goods</x:v>
      </x:c>
      <x:c r="B20" s="24" t="str">
        <x:v>ABB India</x:v>
      </x:c>
      <x:c r="C20" s="24" t="str"/>
      <x:c r="D20" s="24" t="str">
        <x:v>3.7, 4, 4.4, 4.8, 4.8, 5, 5.2, 11, 34.46, 43.27, 119.59</x:v>
      </x:c>
      <x:c r="E20" s="25" t="n">
        <x:v>0.016</x:v>
      </x:c>
      <x:c r="F20" s="26" t="n">
        <x:v>7505.3</x:v>
      </x:c>
      <x:c r="G20" s="24" t="str">
        <x:v>2026-08-28</x:v>
      </x:c>
      <x:c r="H20" s="24" t="str">
        <x:v>Closer to High</x:v>
      </x:c>
      <x:c r="I20" s="24" t="str">
        <x:v>WATCH</x:v>
      </x:c>
      <x:c r="J20" s="24" t="str">
        <x:v>WATCH</x:v>
      </x:c>
      <x:c r="K20" s="24" t="str">
        <x:v>https://www.moneycontrol.com/india/stockpricequote/infrastructure-general/abbindia/ABB</x:v>
      </x:c>
      <x:c r="L20" s="24" t="str">
        <x:v>https://www.moneycontrol.com/company-facts/abbindia/dividends/ABB/</x:v>
      </x:c>
      <x:c r="M20" s="24" t="str">
        <x:v>2026 includes special dividend; yield not normalized.</x:v>
      </x:c>
      <x:c r="N20" t="str">
        <x:v>Secondary research / row source URLs retained</x:v>
      </x:c>
      <x:c r="O20" t="str">
        <x:f>IF(H20=DATE(2026,8,28),"Baseline 28-Aug","Check stale")</x:f>
        <x:v>Check stale</x:v>
      </x:c>
    </x:row>
    <x:row r="21">
      <x:c r="A21" s="24" t="str">
        <x:v>Capital goods</x:v>
      </x:c>
      <x:c r="B21" s="24" t="str">
        <x:v>Siemens India</x:v>
      </x:c>
      <x:c r="C21" s="24" t="str"/>
      <x:c r="D21" s="24" t="str">
        <x:v>37.5, 6, 7, 7, 7, 7, 8, 10, 10, 12, 18</x:v>
      </x:c>
      <x:c r="E21" s="25" t="n">
        <x:v>0.0044</x:v>
      </x:c>
      <x:c r="F21" s="26" t="n">
        <x:v>4083</x:v>
      </x:c>
      <x:c r="G21" s="24" t="str">
        <x:v>2026-08-28</x:v>
      </x:c>
      <x:c r="H21" s="24" t="str">
        <x:v>Closer to High</x:v>
      </x:c>
      <x:c r="I21" s="24" t="str">
        <x:v>PASS/WATCH</x:v>
      </x:c>
      <x:c r="J21" s="24" t="str">
        <x:v>WATCH</x:v>
      </x:c>
      <x:c r="K21" s="24" t="str">
        <x:v>https://www.moneycontrol.com/india/stockpricequote/infrastructure-general/siemens/S</x:v>
      </x:c>
      <x:c r="L21" s="24" t="str">
        <x:v>https://www.moneycontrol.com/company-facts/siemens/dividends/S/</x:v>
      </x:c>
      <x:c r="M21" s="24" t="str"/>
      <x:c r="N21" t="str">
        <x:v>Secondary research / row source URLs retained</x:v>
      </x:c>
      <x:c r="O21" t="str">
        <x:f>IF(H21=DATE(2026,8,28),"Baseline 28-Aug","Check stale")</x:f>
        <x:v>Check stale</x:v>
      </x:c>
    </x:row>
    <x:row r="22">
      <x:c r="A22" s="24" t="str">
        <x:v>Telecom / digital infra</x:v>
      </x:c>
      <x:c r="B22" s="24" t="str">
        <x:v>Tata Communications</x:v>
      </x:c>
      <x:c r="C22" s="24" t="str"/>
      <x:c r="D22" s="24" t="str">
        <x:v>4.3, 6, 4.5, 4.5, 4, 14, 20.7, 21, 16.7, 25, 17.5</x:v>
      </x:c>
      <x:c r="E22" s="25" t="n">
        <x:v>0.01</x:v>
      </x:c>
      <x:c r="F22" s="26" t="n">
        <x:v>1664.7</x:v>
      </x:c>
      <x:c r="G22" s="24" t="str">
        <x:v>2026-08-27</x:v>
      </x:c>
      <x:c r="H22" s="24" t="str">
        <x:v>Closer to Low</x:v>
      </x:c>
      <x:c r="I22" s="24" t="str">
        <x:v>PASS</x:v>
      </x:c>
      <x:c r="J22" s="24" t="str">
        <x:v>IN</x:v>
      </x:c>
      <x:c r="K22" s="24" t="str">
        <x:v>https://www.moneycontrol.com/india/stockpricequote/telecommunications-service/tatacommunications/TC17</x:v>
      </x:c>
      <x:c r="L22" s="24" t="str">
        <x:v>https://www.moneycontrol.com/company-facts/tatacommunications/dividends/TC17/</x:v>
      </x:c>
      <x:c r="M22" s="24" t="str">
        <x:v>Quote source stale at 27 Aug.</x:v>
      </x:c>
      <x:c r="N22" t="str">
        <x:v>Secondary research / row source URLs retained</x:v>
      </x:c>
      <x:c r="O22" t="str">
        <x:f>IF(H22=DATE(2026,8,28),"Baseline 28-Aug","Check stale")</x:f>
        <x:v>Check stale</x:v>
      </x:c>
    </x:row>
    <x:row r="23">
      <x:c r="A23" s="24" t="str">
        <x:v>Telecom / digital infra</x:v>
      </x:c>
      <x:c r="B23" s="24" t="str">
        <x:v>RailTel Corporation</x:v>
      </x:c>
      <x:c r="C23" s="24" t="str">
        <x:v>2021-02-26</x:v>
      </x:c>
      <x:c r="D23" s="24" t="str">
        <x:v>2021-2026: 2.2, 2.4, 3.55, 2.85, 2.85, 2.25 YTD</x:v>
      </x:c>
      <x:c r="E23" s="25" t="n">
        <x:v>0.008</x:v>
      </x:c>
      <x:c r="F23" s="26" t="n">
        <x:v>279</x:v>
      </x:c>
      <x:c r="G23" s="24" t="str">
        <x:v>2026-08-28</x:v>
      </x:c>
      <x:c r="H23" s="24" t="str">
        <x:v>Closer to Low</x:v>
      </x:c>
      <x:c r="I23" s="24" t="str">
        <x:v>WATCH</x:v>
      </x:c>
      <x:c r="J23" s="24" t="str">
        <x:v>WATCH</x:v>
      </x:c>
      <x:c r="K23" s="24" t="str">
        <x:v>https://www.moneycontrol.com/india/stockpricequote/telecommunications-services/railtelcorporationindia/RCo01</x:v>
      </x:c>
      <x:c r="L23" s="24" t="str">
        <x:v>https://www.moneycontrol.com/company-facts/railtelcorporationindia/dividends/RCo01/</x:v>
      </x:c>
      <x:c r="M23" s="24" t="str">
        <x:v>Dividend rule applied since listing.</x:v>
      </x:c>
      <x:c r="N23" t="str">
        <x:v>Secondary research / row source URLs retained</x:v>
      </x:c>
      <x:c r="O23" t="str">
        <x:f>IF(H23=DATE(2026,8,28),"Baseline 28-Aug","Check stale")</x:f>
        <x:v>Check stale</x:v>
      </x:c>
    </x:row>
    <x:row r="24">
      <x:c r="A24" s="24" t="str">
        <x:v>Telecom / digital infra</x:v>
      </x:c>
      <x:c r="B24" s="24" t="str">
        <x:v>Route Mobile</x:v>
      </x:c>
      <x:c r="C24" s="24" t="str">
        <x:v>2020-09-21</x:v>
      </x:c>
      <x:c r="D24" s="24" t="str">
        <x:v>2021-2026: 2, 8, 14, 11, 11, 9 YTD</x:v>
      </x:c>
      <x:c r="E24" s="25" t="n">
        <x:v>0.02</x:v>
      </x:c>
      <x:c r="F24" s="26" t="n">
        <x:v>509.5</x:v>
      </x:c>
      <x:c r="G24" s="24" t="str">
        <x:v>2026-08-28</x:v>
      </x:c>
      <x:c r="H24" s="24" t="str">
        <x:v>Closer to Low</x:v>
      </x:c>
      <x:c r="I24" s="24" t="str">
        <x:v>PASS/WATCH</x:v>
      </x:c>
      <x:c r="J24" s="24" t="str">
        <x:v>WATCH</x:v>
      </x:c>
      <x:c r="K24" s="24" t="str">
        <x:v>https://www.moneycontrol.com/india/stockpricequote/it-servicesconsulting/routemobile/RML02</x:v>
      </x:c>
      <x:c r="L24" s="24" t="str">
        <x:v>https://www.moneycontrol.com/company-facts/routemobile/dividends/RML02/</x:v>
      </x:c>
      <x:c r="M24" s="24" t="str">
        <x:v>2026 YTD confirmed as 3+4+2 = 9 through Aug.</x:v>
      </x:c>
      <x:c r="N24" t="str">
        <x:v>Secondary research / row source URLs retained</x:v>
      </x:c>
      <x:c r="O24" t="str">
        <x:f>IF(H24=DATE(2026,8,28),"Baseline 28-Aug","Check stale")</x:f>
        <x:v>Check stale</x:v>
      </x:c>
    </x:row>
    <x:row r="25">
      <x:c r="A25" s="24" t="str">
        <x:v>Telecom / digital infra</x:v>
      </x:c>
      <x:c r="B25" s="24" t="str">
        <x:v>GTPL Hathway</x:v>
      </x:c>
      <x:c r="C25" s="24" t="str">
        <x:v>2017-07-04</x:v>
      </x:c>
      <x:c r="D25" s="24" t="str">
        <x:v>2017-2025: 1, 1, 1, 3, 4, 4, 4, 4, 2; 2026 pending/verify</x:v>
      </x:c>
      <x:c r="E25" s="25" t="n">
        <x:v>0.037000000000000005</x:v>
      </x:c>
      <x:c r="F25" s="26" t="n">
        <x:v>53.95</x:v>
      </x:c>
      <x:c r="G25" s="24" t="str">
        <x:v>2026-08-28</x:v>
      </x:c>
      <x:c r="H25" s="24" t="str">
        <x:v>Closer to Low</x:v>
      </x:c>
      <x:c r="I25" s="24" t="str">
        <x:v>WATCH</x:v>
      </x:c>
      <x:c r="J25" s="24" t="str">
        <x:v>WATCH</x:v>
      </x:c>
      <x:c r="K25" s="24" t="str">
        <x:v>https://www.icicidirect.com/stocks/gtpl-hathway-ltd-share-price</x:v>
      </x:c>
      <x:c r="L25" s="24" t="str">
        <x:v>https://www.moneycontrol.com/company-facts/gtplhathway/dividends/GH02/</x:v>
      </x:c>
      <x:c r="M25" s="24" t="str">
        <x:v>28 Aug 2026 quote; 52W ₹50.85–₹118.95.</x:v>
      </x:c>
      <x:c r="N25" t="str">
        <x:v>Secondary research / row source URLs retained</x:v>
      </x:c>
      <x:c r="O25" t="str">
        <x:f>IF(H25=DATE(2026,8,28),"Baseline 28-Aug","Check stale")</x:f>
        <x:v>Check stale</x:v>
      </x:c>
    </x:row>
    <x:row r="26">
      <x:c r="A26" s="24" t="str">
        <x:v>Telecom / digital infra</x:v>
      </x:c>
      <x:c r="B26" s="24" t="str">
        <x:v>Bharti Hexacom</x:v>
      </x:c>
      <x:c r="C26" s="24" t="str">
        <x:v>2024-04-12</x:v>
      </x:c>
      <x:c r="D26" s="24" t="str">
        <x:v>2024-2026: 4, 10, 18</x:v>
      </x:c>
      <x:c r="E26" s="25" t="n">
        <x:v>0.0111</x:v>
      </x:c>
      <x:c r="F26" s="26" t="n">
        <x:v>1555.1</x:v>
      </x:c>
      <x:c r="G26" s="24" t="str">
        <x:v>2026-08-27</x:v>
      </x:c>
      <x:c r="H26" s="24" t="str">
        <x:v>Closer to Low</x:v>
      </x:c>
      <x:c r="I26" s="24" t="str">
        <x:v>PASS</x:v>
      </x:c>
      <x:c r="J26" s="24" t="str">
        <x:v>IN</x:v>
      </x:c>
      <x:c r="K26" s="24" t="str">
        <x:v>https://www.moneycontrol.com/india/stockpricequote/telecommunication-equipment/bhartihexacom/BHL02</x:v>
      </x:c>
      <x:c r="L26" s="24" t="str">
        <x:v>https://www.moneycontrol.com/company-facts/bhartihexacom/dividends/BHL02/</x:v>
      </x:c>
      <x:c r="M26" s="24" t="str">
        <x:v>Quote source stale at 27 Aug.</x:v>
      </x:c>
      <x:c r="N26" t="str">
        <x:v>Secondary research / row source URLs retained</x:v>
      </x:c>
      <x:c r="O26" t="str">
        <x:f>IF(H26=DATE(2026,8,28),"Baseline 28-Aug","Check stale")</x:f>
        <x:v>Check stale</x:v>
      </x:c>
    </x:row>
    <x:row r="27">
      <x:c r="A27" s="24" t="str">
        <x:v>Financials</x:v>
      </x:c>
      <x:c r="B27" s="24" t="str">
        <x:v>Bajaj Finance</x:v>
      </x:c>
      <x:c r="C27" s="24" t="str"/>
      <x:c r="D27" s="24" t="str">
        <x:v>25, 3.6, 4, 6, 10, 10, 20, 30, 36, 56, 6</x:v>
      </x:c>
      <x:c r="E27" s="25" t="n">
        <x:v>0.006</x:v>
      </x:c>
      <x:c r="F27" s="26" t="n">
        <x:v>1080</x:v>
      </x:c>
      <x:c r="G27" s="24" t="str">
        <x:v>2026-08-28</x:v>
      </x:c>
      <x:c r="H27" s="24" t="str">
        <x:v>Closer to High</x:v>
      </x:c>
      <x:c r="I27" s="24" t="str">
        <x:v>PASS</x:v>
      </x:c>
      <x:c r="J27" s="24" t="str">
        <x:v>IN</x:v>
      </x:c>
      <x:c r="K27" s="24" t="str">
        <x:v>https://www.moneycontrol.com/india/stockpricequote/finance-nbfc/bajajfinance/BAF</x:v>
      </x:c>
      <x:c r="L27" s="24" t="str">
        <x:v>https://www.moneycontrol.com/company-facts/bajajfinance/dividends/BAF/</x:v>
      </x:c>
      <x:c r="M27" s="24" t="str">
        <x:v>Corporate actions make raw per-share history non-comparable.</x:v>
      </x:c>
      <x:c r="N27" t="str">
        <x:v>Secondary research / row source URLs retained</x:v>
      </x:c>
      <x:c r="O27" t="str">
        <x:f>IF(H27=DATE(2026,8,28),"Baseline 28-Aug","Check stale")</x:f>
        <x:v>Check stale</x:v>
      </x:c>
    </x:row>
    <x:row r="28">
      <x:c r="A28" s="24" t="str">
        <x:v>Financials</x:v>
      </x:c>
      <x:c r="B28" s="24" t="str">
        <x:v>Bajaj Finserv</x:v>
      </x:c>
      <x:c r="C28" s="24" t="str"/>
      <x:c r="D28" s="24" t="str">
        <x:v>1.75, 1.75, 1.75, 2.5, 5, 3, 4, 0.8, 1, 1, 1.5</x:v>
      </x:c>
      <x:c r="E28" s="25" t="n">
        <x:v>0.0008</x:v>
      </x:c>
      <x:c r="F28" s="26" t="n">
        <x:v>1990</x:v>
      </x:c>
      <x:c r="G28" s="24" t="str">
        <x:v>2026-08-28</x:v>
      </x:c>
      <x:c r="H28" s="24" t="str">
        <x:v>Closer to High</x:v>
      </x:c>
      <x:c r="I28" s="24" t="str">
        <x:v>PASS/WATCH</x:v>
      </x:c>
      <x:c r="J28" s="24" t="str">
        <x:v>WATCH</x:v>
      </x:c>
      <x:c r="K28" s="24" t="str">
        <x:v>https://www.moneycontrol.com/india/stockpricequote/finance-investments/bajajfinserv/BF04</x:v>
      </x:c>
      <x:c r="L28" s="24" t="str">
        <x:v>https://www.moneycontrol.com/company-facts/bajajfinserv/dividends/BF04/</x:v>
      </x:c>
      <x:c r="M28" s="24" t="str"/>
      <x:c r="N28" t="str">
        <x:v>Secondary research / row source URLs retained</x:v>
      </x:c>
      <x:c r="O28" t="str">
        <x:f>IF(H28=DATE(2026,8,28),"Baseline 28-Aug","Check stale")</x:f>
        <x:v>Check stale</x:v>
      </x:c>
    </x:row>
    <x:row r="29">
      <x:c r="A29" s="24" t="str">
        <x:v>Financials</x:v>
      </x:c>
      <x:c r="B29" s="24" t="str">
        <x:v>Shriram Finance</x:v>
      </x:c>
      <x:c r="C29" s="24" t="str"/>
      <x:c r="D29" s="24" t="str">
        <x:v>2016-2026: continuous; corporate-action adjusted</x:v>
      </x:c>
      <x:c r="E29" s="25" t="n">
        <x:v>0.01</x:v>
      </x:c>
      <x:c r="F29" s="26" t="n">
        <x:v>1095.2</x:v>
      </x:c>
      <x:c r="G29" s="24" t="str">
        <x:v>2026-08-28</x:v>
      </x:c>
      <x:c r="H29" s="24" t="str">
        <x:v>Closer to High</x:v>
      </x:c>
      <x:c r="I29" s="24" t="str">
        <x:v>PASS</x:v>
      </x:c>
      <x:c r="J29" s="24" t="str">
        <x:v>IN</x:v>
      </x:c>
      <x:c r="K29" s="24" t="str">
        <x:v>https://www.moneycontrol.com/india/stockpricequote/finance-leasinghire-purchase/shriramfinance/STF</x:v>
      </x:c>
      <x:c r="L29" s="24" t="str">
        <x:v>https://www.moneycontrol.com/company-facts/shriramfinance/dividends/STF/</x:v>
      </x:c>
      <x:c r="M29" s="24" t="str">
        <x:v>Historical entity/corporate-action adjustments apply.</x:v>
      </x:c>
      <x:c r="N29" t="str">
        <x:v>Secondary research / row source URLs retained</x:v>
      </x:c>
      <x:c r="O29" t="str">
        <x:f>IF(H29=DATE(2026,8,28),"Baseline 28-Aug","Check stale")</x:f>
        <x:v>Check stale</x:v>
      </x:c>
    </x:row>
    <x:row r="30">
      <x:c r="A30" s="24" t="str">
        <x:v>Financials</x:v>
      </x:c>
      <x:c r="B30" s="24" t="str">
        <x:v>Cholamandalam Investment &amp; Finance</x:v>
      </x:c>
      <x:c r="C30" s="24" t="str"/>
      <x:c r="D30" s="24" t="str">
        <x:v>2016-2026: continuous; recent 2021-2026: 2, 2, 2, 2, 2, 2</x:v>
      </x:c>
      <x:c r="E30" s="25" t="n">
        <x:v>0.001</x:v>
      </x:c>
      <x:c r="F30" s="26" t="n">
        <x:v>1851.8</x:v>
      </x:c>
      <x:c r="G30" s="24" t="str">
        <x:v>2026-08-28</x:v>
      </x:c>
      <x:c r="H30" s="24" t="str">
        <x:v>Closer to High</x:v>
      </x:c>
      <x:c r="I30" s="24" t="str">
        <x:v>PASS/WATCH</x:v>
      </x:c>
      <x:c r="J30" s="24" t="str">
        <x:v>WATCH</x:v>
      </x:c>
      <x:c r="K30" s="24" t="str">
        <x:v>https://www.moneycontrol.com/india/stockpricequote/finance-nbfc/cholamandalaminvestmentfinancecompany/CDB</x:v>
      </x:c>
      <x:c r="L30" s="24" t="str">
        <x:v>https://www.moneycontrol.com/company-facts/cholamandalaminvestmentfinancecompany/dividends/CDB/</x:v>
      </x:c>
      <x:c r="M30" s="24" t="str"/>
      <x:c r="N30" t="str">
        <x:v>Secondary research / row source URLs retained</x:v>
      </x:c>
      <x:c r="O30" t="str">
        <x:f>IF(H30=DATE(2026,8,28),"Baseline 28-Aug","Check stale")</x:f>
        <x:v>Check stale</x:v>
      </x:c>
    </x:row>
    <x:row r="31">
      <x:c r="A31" s="24" t="str">
        <x:v>Financials</x:v>
      </x:c>
      <x:c r="B31" s="24" t="str">
        <x:v>Bajaj Holdings &amp; Investment</x:v>
      </x:c>
      <x:c r="C31" s="24" t="str"/>
      <x:c r="D31" s="24" t="str">
        <x:v>32.5, 32.5, 40, 32.5, 40, 130, 135, 123, 86, 93, 130</x:v>
      </x:c>
      <x:c r="E31" s="25" t="n">
        <x:v>0.011000000000000001</x:v>
      </x:c>
      <x:c r="F31" s="26" t="n">
        <x:v>11366</x:v>
      </x:c>
      <x:c r="G31" s="24" t="str">
        <x:v>2026-08-26</x:v>
      </x:c>
      <x:c r="H31" s="24" t="str">
        <x:v>Closer to High</x:v>
      </x:c>
      <x:c r="I31" s="24" t="str">
        <x:v>PASS/WATCH</x:v>
      </x:c>
      <x:c r="J31" s="24" t="str">
        <x:v>WATCH</x:v>
      </x:c>
      <x:c r="K31" s="24" t="str">
        <x:v>https://www.moneycontrol.com/india/stockpricequote/finance-investments/bajajholdingsinvestment/BHI</x:v>
      </x:c>
      <x:c r="L31" s="24" t="str">
        <x:v>https://www.moneycontrol.com/company-facts/bajajholdingsinvestment/dividends/BHI/</x:v>
      </x:c>
      <x:c r="M31" s="24" t="str">
        <x:v>Quote source stale at 26 Aug.</x:v>
      </x:c>
      <x:c r="N31" t="str">
        <x:v>Secondary research / row source URLs retained</x:v>
      </x:c>
      <x:c r="O31" t="str">
        <x:f>IF(H31=DATE(2026,8,28),"Baseline 28-Aug","Check stale")</x:f>
        <x:v>Check stale</x:v>
      </x:c>
    </x:row>
    <x:row r="32">
      <x:c r="A32" s="24" t="str">
        <x:v>Pharma / healthcare</x:v>
      </x:c>
      <x:c r="B32" s="24" t="str">
        <x:v>Sun Pharma</x:v>
      </x:c>
      <x:c r="C32" s="24" t="str"/>
      <x:c r="D32" s="24" t="str">
        <x:v>1, 3.5, 2, 2.75, 4, 7.5, 10, 11.5, 13.5, 16, 16</x:v>
      </x:c>
      <x:c r="E32" s="25" t="n">
        <x:v>0.008</x:v>
      </x:c>
      <x:c r="F32" s="26" t="n">
        <x:v>1921.3</x:v>
      </x:c>
      <x:c r="G32" s="24" t="str">
        <x:v>2026-08-28</x:v>
      </x:c>
      <x:c r="H32" s="24" t="str">
        <x:v>Closer to High</x:v>
      </x:c>
      <x:c r="I32" s="24" t="str">
        <x:v>PASS</x:v>
      </x:c>
      <x:c r="J32" s="24" t="str">
        <x:v>IN</x:v>
      </x:c>
      <x:c r="K32" s="24" t="str">
        <x:v>https://www.moneycontrol.com/india/stockpricequote/pharmaceuticals/sunpharmaceuticalindustries/SPI</x:v>
      </x:c>
      <x:c r="L32" s="24" t="str">
        <x:v>https://www.moneycontrol.com/company-facts/sunpharmaceuticalindustries/dividends/SPI/</x:v>
      </x:c>
      <x:c r="M32" s="24" t="str"/>
      <x:c r="N32" t="str">
        <x:v>Secondary research / row source URLs retained</x:v>
      </x:c>
      <x:c r="O32" t="str">
        <x:f>IF(H32=DATE(2026,8,28),"Baseline 28-Aug","Check stale")</x:f>
        <x:v>Check stale</x:v>
      </x:c>
    </x:row>
    <x:row r="33">
      <x:c r="A33" s="24" t="str">
        <x:v>Pharma / healthcare</x:v>
      </x:c>
      <x:c r="B33" s="24" t="str">
        <x:v>Lupin</x:v>
      </x:c>
      <x:c r="C33" s="24" t="str"/>
      <x:c r="D33" s="24" t="str">
        <x:v>7.5, 7.5, 5, 5, 6, 6.5, 4, 4, 8, 12, 18</x:v>
      </x:c>
      <x:c r="E33" s="25" t="n">
        <x:v>0.008</x:v>
      </x:c>
      <x:c r="F33" s="26" t="n">
        <x:v>2168</x:v>
      </x:c>
      <x:c r="G33" s="24" t="str">
        <x:v>2026-08-28</x:v>
      </x:c>
      <x:c r="H33" s="24" t="str">
        <x:v>Closer to Low</x:v>
      </x:c>
      <x:c r="I33" s="24" t="str">
        <x:v>PASS/WATCH</x:v>
      </x:c>
      <x:c r="J33" s="24" t="str">
        <x:v>WATCH</x:v>
      </x:c>
      <x:c r="K33" s="24" t="str">
        <x:v>https://economictimes.indiatimes.com/marketstats/pid-558</x:v>
      </x:c>
      <x:c r="L33" s="24" t="str">
        <x:v>https://www.moneycontrol.com/company-facts/lupin/dividends/L/</x:v>
      </x:c>
      <x:c r="M33" s="24" t="str">
        <x:v>28 Aug 2026 ET market-table quote; 52W position uses Moneycontrol range ₹1,875–₹2,529.50.</x:v>
      </x:c>
      <x:c r="N33" t="str">
        <x:v>Secondary research / row source URLs retained</x:v>
      </x:c>
      <x:c r="O33" t="str">
        <x:f>IF(H33=DATE(2026,8,28),"Baseline 28-Aug","Check stale")</x:f>
        <x:v>Check stale</x:v>
      </x:c>
    </x:row>
    <x:row r="34">
      <x:c r="A34" s="24" t="str">
        <x:v>Pharma / healthcare</x:v>
      </x:c>
      <x:c r="B34" s="24" t="str">
        <x:v>Dr Reddy's Laboratories</x:v>
      </x:c>
      <x:c r="C34" s="24" t="str"/>
      <x:c r="D34" s="24" t="str">
        <x:v>2016-2026: continuous, rising payout</x:v>
      </x:c>
      <x:c r="E34" s="25" t="n">
        <x:v>0.0068000000000000005</x:v>
      </x:c>
      <x:c r="F34" s="26" t="n">
        <x:v>1174</x:v>
      </x:c>
      <x:c r="G34" s="24" t="str">
        <x:v>2026-08-28</x:v>
      </x:c>
      <x:c r="H34" s="24" t="str">
        <x:v>Closer to Low</x:v>
      </x:c>
      <x:c r="I34" s="24" t="str">
        <x:v>PASS</x:v>
      </x:c>
      <x:c r="J34" s="24" t="str">
        <x:v>IN</x:v>
      </x:c>
      <x:c r="K34" s="24" t="str">
        <x:v>https://www.moneycontrol.com/india/stockpricequote/pharmaceuticals/drreddyslaboratories/DRL</x:v>
      </x:c>
      <x:c r="L34" s="24" t="str">
        <x:v>https://www.moneycontrol.com/company-facts/drreddyslaboratories/dividends/DRL/</x:v>
      </x:c>
      <x:c r="M34" s="24" t="str"/>
      <x:c r="N34" t="str">
        <x:v>Secondary research / row source URLs retained</x:v>
      </x:c>
      <x:c r="O34" t="str">
        <x:f>IF(H34=DATE(2026,8,28),"Baseline 28-Aug","Check stale")</x:f>
        <x:v>Check stale</x:v>
      </x:c>
    </x:row>
    <x:row r="35">
      <x:c r="A35" s="24" t="str">
        <x:v>Pharma / healthcare</x:v>
      </x:c>
      <x:c r="B35" s="24" t="str">
        <x:v>Cipla</x:v>
      </x:c>
      <x:c r="C35" s="24" t="str"/>
      <x:c r="D35" s="24" t="str">
        <x:v>2016-2026: continuous, rising payout</x:v>
      </x:c>
      <x:c r="E35" s="25" t="n">
        <x:v>0.008</x:v>
      </x:c>
      <x:c r="F35" s="26" t="n">
        <x:v>1423</x:v>
      </x:c>
      <x:c r="G35" s="24" t="str">
        <x:v>2026-08-28</x:v>
      </x:c>
      <x:c r="H35" s="24" t="str">
        <x:v>Closer to High</x:v>
      </x:c>
      <x:c r="I35" s="24" t="str">
        <x:v>PASS</x:v>
      </x:c>
      <x:c r="J35" s="24" t="str">
        <x:v>IN</x:v>
      </x:c>
      <x:c r="K35" s="24" t="str">
        <x:v>https://www.moneycontrol.com/india/stockpricequote/pharmaceuticals/cipla/C</x:v>
      </x:c>
      <x:c r="L35" s="24" t="str">
        <x:v>https://www.moneycontrol.com/company-facts/cipla/dividends/C/</x:v>
      </x:c>
      <x:c r="M35" s="24" t="str"/>
      <x:c r="N35" t="str">
        <x:v>Secondary research / row source URLs retained</x:v>
      </x:c>
      <x:c r="O35" t="str">
        <x:f>IF(H35=DATE(2026,8,28),"Baseline 28-Aug","Check stale")</x:f>
        <x:v>Check stale</x:v>
      </x:c>
    </x:row>
    <x:row r="36">
      <x:c r="A36" s="24" t="str">
        <x:v>Pharma / healthcare</x:v>
      </x:c>
      <x:c r="B36" s="24" t="str">
        <x:v>Torrent Pharmaceuticals</x:v>
      </x:c>
      <x:c r="C36" s="24" t="str"/>
      <x:c r="D36" s="24" t="str">
        <x:v>7.5, 7, 7, 8.5, 16, 17.5, 24, 22, 28, 32, 38</x:v>
      </x:c>
      <x:c r="E36" s="25" t="n">
        <x:v>0.008</x:v>
      </x:c>
      <x:c r="F36" s="26" t="n">
        <x:v>5012</x:v>
      </x:c>
      <x:c r="G36" s="24" t="str">
        <x:v>2026-08-28</x:v>
      </x:c>
      <x:c r="H36" s="24" t="str">
        <x:v>Closer to High</x:v>
      </x:c>
      <x:c r="I36" s="24" t="str">
        <x:v>PASS/WATCH</x:v>
      </x:c>
      <x:c r="J36" s="24" t="str">
        <x:v>WATCH</x:v>
      </x:c>
      <x:c r="K36" s="24" t="str">
        <x:v>https://upstox.com/stocks/torrent-pharmaceuticals-limited-share-price/</x:v>
      </x:c>
      <x:c r="L36" s="24" t="str">
        <x:v>https://www.moneycontrol.com/company-facts/torrentpharmaceuticals/dividends/TP06/</x:v>
      </x:c>
      <x:c r="M36" s="24" t="str">
        <x:v>28 Aug 2026 12:32 IST quote; 52W ₹3,480.60–₹5,250.00.</x:v>
      </x:c>
      <x:c r="N36" t="str">
        <x:v>Secondary research / row source URLs retained</x:v>
      </x:c>
      <x:c r="O36" t="str">
        <x:f>IF(H36=DATE(2026,8,28),"Baseline 28-Aug","Check stale")</x:f>
        <x:v>Check stale</x:v>
      </x:c>
    </x:row>
    <x:row r="37">
      <x:c r="A37" s="24" t="str">
        <x:v>Auto components / engineering</x:v>
      </x:c>
      <x:c r="B37" s="24" t="str">
        <x:v>Samvardhana Motherson International</x:v>
      </x:c>
      <x:c r="C37" s="24" t="str"/>
      <x:c r="D37" s="24" t="str">
        <x:v>0.49, 0.59, 0.67, 0.67, 0.67, 0.67, 0.29, 0.43, 0.53, 0.57, 0.60</x:v>
      </x:c>
      <x:c r="E37" s="25" t="n">
        <x:v>0.0034999999999999996</x:v>
      </x:c>
      <x:c r="F37" s="26" t="n">
        <x:v>166.67</x:v>
      </x:c>
      <x:c r="G37" s="24" t="str">
        <x:v>2026-08-28</x:v>
      </x:c>
      <x:c r="H37" s="24" t="str">
        <x:v>Closer to High</x:v>
      </x:c>
      <x:c r="I37" s="24" t="str">
        <x:v>PASS</x:v>
      </x:c>
      <x:c r="J37" s="24" t="str">
        <x:v>IN</x:v>
      </x:c>
      <x:c r="K37" s="24" t="str">
        <x:v>https://www.moneycontrol.com/india/stockpricequote/auto-ancillaries-auto-truckmotorcycle-parts/samvardhanamothersoninternational/MSS01</x:v>
      </x:c>
      <x:c r="L37" s="24" t="str">
        <x:v>https://www.moneycontrol.com/company-facts/samvardhanamothersoninternational/dividends/MSS01/</x:v>
      </x:c>
      <x:c r="M37" s="24" t="str">
        <x:v>Corporate actions affect comparability.</x:v>
      </x:c>
      <x:c r="N37" t="str">
        <x:v>Secondary research / row source URLs retained</x:v>
      </x:c>
      <x:c r="O37" t="str">
        <x:f>IF(H37=DATE(2026,8,28),"Baseline 28-Aug","Check stale")</x:f>
        <x:v>Check stale</x:v>
      </x:c>
    </x:row>
    <x:row r="38">
      <x:c r="A38" s="24" t="str">
        <x:v>Auto components / engineering</x:v>
      </x:c>
      <x:c r="B38" s="24" t="str">
        <x:v>Bosch India</x:v>
      </x:c>
      <x:c r="C38" s="24" t="str"/>
      <x:c r="D38" s="24" t="str">
        <x:v>85, 165, 100, 105, 105, 115, 210, 480, 375, 512, 270</x:v>
      </x:c>
      <x:c r="E38" s="25" t="n">
        <x:v>0.0055000000000000005</x:v>
      </x:c>
      <x:c r="F38" s="26" t="n">
        <x:v>51215</x:v>
      </x:c>
      <x:c r="G38" s="24" t="str">
        <x:v>2026-08-28</x:v>
      </x:c>
      <x:c r="H38" s="24" t="str">
        <x:v>Closer to High</x:v>
      </x:c>
      <x:c r="I38" s="24" t="str">
        <x:v>WATCH</x:v>
      </x:c>
      <x:c r="J38" s="24" t="str">
        <x:v>WATCH</x:v>
      </x:c>
      <x:c r="K38" s="24" t="str">
        <x:v>https://www.moneycontrol.com/india/stockpricequote/auto-ancillaries/bosch/B05</x:v>
      </x:c>
      <x:c r="L38" s="24" t="str">
        <x:v>https://www.moneycontrol.com/company-facts/bosch/dividends/B05/</x:v>
      </x:c>
      <x:c r="M38" s="24" t="str">
        <x:v>Current bid exceeded captured 52W high on source; range may be stale intraday.</x:v>
      </x:c>
      <x:c r="N38" t="str">
        <x:v>Secondary research / row source URLs retained</x:v>
      </x:c>
      <x:c r="O38" t="str">
        <x:f>IF(H38=DATE(2026,8,28),"Baseline 28-Aug","Check stale")</x:f>
        <x:v>Check stale</x:v>
      </x:c>
    </x:row>
    <x:row r="39">
      <x:c r="A39" s="24" t="str">
        <x:v>Auto components / engineering</x:v>
      </x:c>
      <x:c r="B39" s="24" t="str">
        <x:v>Schaeffler India</x:v>
      </x:c>
      <x:c r="C39" s="24" t="str"/>
      <x:c r="D39" s="24" t="str">
        <x:v>10, 12, 17, 30, 35, 38, 16, 24, 26, 28, 35</x:v>
      </x:c>
      <x:c r="E39" s="25" t="n">
        <x:v>0.009000000000000001</x:v>
      </x:c>
      <x:c r="F39" s="26" t="n">
        <x:v>4058.5</x:v>
      </x:c>
      <x:c r="G39" s="24" t="str">
        <x:v>2026-08-27</x:v>
      </x:c>
      <x:c r="H39" s="24" t="str">
        <x:v>Closer to High</x:v>
      </x:c>
      <x:c r="I39" s="24" t="str">
        <x:v>WATCH</x:v>
      </x:c>
      <x:c r="J39" s="24" t="str">
        <x:v>WATCH</x:v>
      </x:c>
      <x:c r="K39" s="24" t="str">
        <x:v>https://www.moneycontrol.com/india/stockpricequote/bearings/schaefflerindia/FAG</x:v>
      </x:c>
      <x:c r="L39" s="24" t="str">
        <x:v>https://www.moneycontrol.com/company-facts/schaefflerindia/dividends/FAG/</x:v>
      </x:c>
      <x:c r="M39" s="24" t="str">
        <x:v>Quote source stale at 27 Aug.</x:v>
      </x:c>
      <x:c r="N39" t="str">
        <x:v>Secondary research / row source URLs retained</x:v>
      </x:c>
      <x:c r="O39" t="str">
        <x:f>IF(H39=DATE(2026,8,28),"Baseline 28-Aug","Check stale")</x:f>
        <x:v>Check stale</x:v>
      </x:c>
    </x:row>
    <x:row r="40">
      <x:c r="A40" s="24" t="str">
        <x:v>Auto components / engineering</x:v>
      </x:c>
      <x:c r="B40" s="24" t="str">
        <x:v>Endurance Technologies</x:v>
      </x:c>
      <x:c r="C40" s="24" t="str">
        <x:v>2016-10-19</x:v>
      </x:c>
      <x:c r="D40" s="24" t="str">
        <x:v>2017-2026: 2.5, 4, 5.5, 5.5, 6, 6.25, 7, 8.5, 10, 11.5</x:v>
      </x:c>
      <x:c r="E40" s="25" t="n">
        <x:v>0.004</x:v>
      </x:c>
      <x:c r="F40" s="26" t="n">
        <x:v>2923.8</x:v>
      </x:c>
      <x:c r="G40" s="24" t="str">
        <x:v>2026-08-28</x:v>
      </x:c>
      <x:c r="H40" s="24" t="str">
        <x:v>Closer to High</x:v>
      </x:c>
      <x:c r="I40" s="24" t="str">
        <x:v>PASS/WATCH</x:v>
      </x:c>
      <x:c r="J40" s="24" t="str">
        <x:v>WATCH</x:v>
      </x:c>
      <x:c r="K40" s="24" t="str">
        <x:v>https://upstox.com/stocks/endurance-techno-ltd-share-price/</x:v>
      </x:c>
      <x:c r="L40" s="24" t="str">
        <x:v>https://www.moneycontrol.com/company-facts/endurancetechnologies/dividends/ET01/</x:v>
      </x:c>
      <x:c r="M40" s="24" t="str">
        <x:v>28 Aug 2026 15:09 IST quote; 52W ₹2,142.80–₹3,079.90.</x:v>
      </x:c>
      <x:c r="N40" t="str">
        <x:v>Secondary research / row source URLs retained</x:v>
      </x:c>
      <x:c r="O40" t="str">
        <x:f>IF(H40=DATE(2026,8,28),"Baseline 28-Aug","Check stale")</x:f>
        <x:v>Check stale</x:v>
      </x:c>
    </x:row>
    <x:row r="41">
      <x:c r="A41" s="24" t="str">
        <x:v>Auto components / engineering</x:v>
      </x:c>
      <x:c r="B41" s="24" t="str">
        <x:v>Exide Industries</x:v>
      </x:c>
      <x:c r="C41" s="24" t="str"/>
      <x:c r="D41" s="24" t="str">
        <x:v>2.4, 2.4, 2.4, 2.4, 2.5, 2, 2, 2, 2, 2, 2</x:v>
      </x:c>
      <x:c r="E41" s="25" t="n">
        <x:v>0.0044</x:v>
      </x:c>
      <x:c r="F41" s="26" t="n">
        <x:v>454.25</x:v>
      </x:c>
      <x:c r="G41" s="24" t="str">
        <x:v>2026-08-28</x:v>
      </x:c>
      <x:c r="H41" s="24" t="str">
        <x:v>Closer to High</x:v>
      </x:c>
      <x:c r="I41" s="24" t="str">
        <x:v>PASS/WATCH</x:v>
      </x:c>
      <x:c r="J41" s="24" t="str">
        <x:v>WATCH</x:v>
      </x:c>
      <x:c r="K41" s="24" t="str">
        <x:v>https://www.moneycontrol.com/india/stockpricequote/auto-ancillaries/exideindustries/EI</x:v>
      </x:c>
      <x:c r="L41" s="24" t="str">
        <x:v>https://www.moneycontrol.com/company-facts/exideindustries/dividends/EI/</x:v>
      </x:c>
      <x:c r="M41" s="24" t="str"/>
      <x:c r="N41" t="str">
        <x:v>Secondary research / row source URLs retained</x:v>
      </x:c>
      <x:c r="O41" t="str">
        <x:f>IF(H41=DATE(2026,8,28),"Baseline 28-Aug","Check stale")</x:f>
        <x:v>Check stale</x:v>
      </x:c>
    </x:row>
    <x:row r="42">
      <x:c r="A42" s="24" t="str">
        <x:v>Cement / building materials</x:v>
      </x:c>
      <x:c r="B42" s="24" t="str">
        <x:v>UltraTech Cement</x:v>
      </x:c>
      <x:c r="C42" s="24" t="str"/>
      <x:c r="D42" s="24" t="str">
        <x:v>9.5, 10, 10.5, 11.5, 13, 37, 38, 38, 70, 77.5, 240</x:v>
      </x:c>
      <x:c r="E42" s="25" t="n">
        <x:v>0.0207</x:v>
      </x:c>
      <x:c r="F42" s="26" t="n">
        <x:v>11570</x:v>
      </x:c>
      <x:c r="G42" s="24" t="str">
        <x:v>2026-08-28</x:v>
      </x:c>
      <x:c r="H42" s="24" t="str">
        <x:v>Closer to Low</x:v>
      </x:c>
      <x:c r="I42" s="24" t="str">
        <x:v>PASS</x:v>
      </x:c>
      <x:c r="J42" s="24" t="str">
        <x:v>IN</x:v>
      </x:c>
      <x:c r="K42" s="24" t="str">
        <x:v>https://www.moneycontrol.com/india/stockpricequote/cement-major/ultratechcement/UTC01</x:v>
      </x:c>
      <x:c r="L42" s="24" t="str">
        <x:v>https://www.moneycontrol.com/company-facts/ultratechcement/dividends/UTC01/</x:v>
      </x:c>
      <x:c r="M42" s="24" t="str">
        <x:v>2026 dividend unusually high; includes special/large payout.</x:v>
      </x:c>
      <x:c r="N42" t="str">
        <x:v>Secondary research / row source URLs retained</x:v>
      </x:c>
      <x:c r="O42" t="str">
        <x:f>IF(H42=DATE(2026,8,28),"Baseline 28-Aug","Check stale")</x:f>
        <x:v>Check stale</x:v>
      </x:c>
    </x:row>
    <x:row r="43">
      <x:c r="A43" s="24" t="str">
        <x:v>Cement / building materials</x:v>
      </x:c>
      <x:c r="B43" s="24" t="str">
        <x:v>JK Cement</x:v>
      </x:c>
      <x:c r="C43" s="24" t="str"/>
      <x:c r="D43" s="24" t="str">
        <x:v>4, 8, 10, 10, 7.5, 15, 15, 15, 20, 15, 20</x:v>
      </x:c>
      <x:c r="E43" s="25" t="n">
        <x:v>0.0039000000000000003</x:v>
      </x:c>
      <x:c r="F43" s="26" t="n">
        <x:v>5167</x:v>
      </x:c>
      <x:c r="G43" s="24" t="str">
        <x:v>2026-08-28</x:v>
      </x:c>
      <x:c r="H43" s="24" t="str">
        <x:v>Closer to Low</x:v>
      </x:c>
      <x:c r="I43" s="24" t="str">
        <x:v>PASS</x:v>
      </x:c>
      <x:c r="J43" s="24" t="str">
        <x:v>IN</x:v>
      </x:c>
      <x:c r="K43" s="24" t="str">
        <x:v>https://economictimes.indiatimes.com/jk-cement-ltd/stocks/companyid-16847.cms</x:v>
      </x:c>
      <x:c r="L43" s="24" t="str">
        <x:v>https://www.moneycontrol.com/company-facts/jkcement/dividends/JKC03/</x:v>
      </x:c>
      <x:c r="M43" s="24" t="str">
        <x:v>28 Aug 2026 15:07 IST quote; 52W ₹4,671.50–₹7,124.50.</x:v>
      </x:c>
      <x:c r="N43" t="str">
        <x:v>Secondary research / row source URLs retained</x:v>
      </x:c>
      <x:c r="O43" t="str">
        <x:f>IF(H43=DATE(2026,8,28),"Baseline 28-Aug","Check stale")</x:f>
        <x:v>Check stale</x:v>
      </x:c>
    </x:row>
    <x:row r="44">
      <x:c r="A44" s="24" t="str">
        <x:v>Cement / building materials</x:v>
      </x:c>
      <x:c r="B44" s="24" t="str">
        <x:v>Ambuja Cements</x:v>
      </x:c>
      <x:c r="C44" s="24" t="str"/>
      <x:c r="D44" s="24" t="str">
        <x:v>2.8, 2.8, 2, 1.5, 18.5, 1, 6.3, 2.5, 2, 2, 2</x:v>
      </x:c>
      <x:c r="E44" s="25" t="n">
        <x:v>0.005</x:v>
      </x:c>
      <x:c r="F44" s="26" t="n">
        <x:v>411.9</x:v>
      </x:c>
      <x:c r="G44" s="24" t="str">
        <x:v>2026-08-28</x:v>
      </x:c>
      <x:c r="H44" s="24" t="str">
        <x:v>Closer to Low</x:v>
      </x:c>
      <x:c r="I44" s="24" t="str">
        <x:v>PASS/WATCH</x:v>
      </x:c>
      <x:c r="J44" s="24" t="str">
        <x:v>WATCH</x:v>
      </x:c>
      <x:c r="K44" s="24" t="str">
        <x:v>https://www.moneycontrol.com/india/stockpricequote/cement-major/ambujacements/AC18</x:v>
      </x:c>
      <x:c r="L44" s="24" t="str">
        <x:v>https://www.moneycontrol.com/company-facts/ambujacements/dividends/AC18/</x:v>
      </x:c>
      <x:c r="M44" s="24" t="str"/>
      <x:c r="N44" t="str">
        <x:v>Secondary research / row source URLs retained</x:v>
      </x:c>
      <x:c r="O44" t="str">
        <x:f>IF(H44=DATE(2026,8,28),"Baseline 28-Aug","Check stale")</x:f>
        <x:v>Check stale</x:v>
      </x:c>
    </x:row>
    <x:row r="45">
      <x:c r="A45" s="24" t="str">
        <x:v>Cement / building materials</x:v>
      </x:c>
      <x:c r="B45" s="24" t="str">
        <x:v>Shree Cement</x:v>
      </x:c>
      <x:c r="C45" s="24" t="str"/>
      <x:c r="D45" s="24" t="str">
        <x:v>28, 124, 50, 60, 110, 60, 90, 100, 105, 190, 70</x:v>
      </x:c>
      <x:c r="E45" s="25" t="n">
        <x:v>0.006</x:v>
      </x:c>
      <x:c r="F45" s="26" t="n">
        <x:v>24025</x:v>
      </x:c>
      <x:c r="G45" s="24" t="str">
        <x:v>2026-08-28</x:v>
      </x:c>
      <x:c r="H45" s="24" t="str">
        <x:v>Closer to Low</x:v>
      </x:c>
      <x:c r="I45" s="24" t="str">
        <x:v>WATCH</x:v>
      </x:c>
      <x:c r="J45" s="24" t="str">
        <x:v>WATCH</x:v>
      </x:c>
      <x:c r="K45" s="24" t="str">
        <x:v>https://www.moneycontrol.com/india/stockpricequote/cement-major/shreecements/SC12</x:v>
      </x:c>
      <x:c r="L45" s="24" t="str">
        <x:v>https://www.moneycontrol.com/company-facts/shreecements/dividends/SC12/</x:v>
      </x:c>
      <x:c r="M45" s="24" t="str"/>
      <x:c r="N45" t="str">
        <x:v>Secondary research / row source URLs retained</x:v>
      </x:c>
      <x:c r="O45" t="str">
        <x:f>IF(H45=DATE(2026,8,28),"Baseline 28-Aug","Check stale")</x:f>
        <x:v>Check stale</x:v>
      </x:c>
    </x:row>
    <x:row r="46">
      <x:c r="A46" s="24" t="str">
        <x:v>Cement / building materials</x:v>
      </x:c>
      <x:c r="B46" s="24" t="str">
        <x:v>ACC</x:v>
      </x:c>
      <x:c r="C46" s="24" t="str"/>
      <x:c r="D46" s="24" t="str">
        <x:v>17, 17, 15, 14, 14, 14, 58, 9.25, 7.5, 7.5, 7.5</x:v>
      </x:c>
      <x:c r="E46" s="25" t="n">
        <x:v>0.006</x:v>
      </x:c>
      <x:c r="F46" s="26" t="n">
        <x:v>1304</x:v>
      </x:c>
      <x:c r="G46" s="24" t="str">
        <x:v>2026-08-28</x:v>
      </x:c>
      <x:c r="H46" s="24" t="str">
        <x:v>Closer to Low</x:v>
      </x:c>
      <x:c r="I46" s="24" t="str">
        <x:v>PASS/WATCH</x:v>
      </x:c>
      <x:c r="J46" s="24" t="str">
        <x:v>WATCH</x:v>
      </x:c>
      <x:c r="K46" s="24" t="str">
        <x:v>https://www.moneycontrol.com/india/stockpricequote/cement-major/acc/ACC06</x:v>
      </x:c>
      <x:c r="L46" s="24" t="str">
        <x:v>https://www.moneycontrol.com/company-facts/acc/dividends/ACC06/</x:v>
      </x:c>
      <x:c r="M46" s="24" t="str">
        <x:v>28 Aug 2026 observed quote/bid around ₹1,304; 52W ₹1,250–₹1,986.90.</x:v>
      </x:c>
      <x:c r="N46" t="str">
        <x:v>Secondary research / row source URLs retained</x:v>
      </x:c>
      <x:c r="O46" t="str">
        <x:f>IF(H46=DATE(2026,8,28),"Baseline 28-Aug","Check stale")</x:f>
        <x:v>Check stale</x:v>
      </x:c>
    </x:row>
    <x:row r="47">
      <x:c r="A47" s="24" t="str">
        <x:v>Consumer / premiumisation</x:v>
      </x:c>
      <x:c r="B47" s="24" t="str">
        <x:v>Titan Company</x:v>
      </x:c>
      <x:c r="C47" s="24" t="str"/>
      <x:c r="D47" s="24" t="str">
        <x:v>2.2, 2.6, 3.75, 5, 4, 4, 7.5, 10, 11, 11, 15</x:v>
      </x:c>
      <x:c r="E47" s="25" t="n">
        <x:v>0.0029</x:v>
      </x:c>
      <x:c r="F47" s="26" t="n">
        <x:v>5158.2</x:v>
      </x:c>
      <x:c r="G47" s="24" t="str">
        <x:v>2026-08-28</x:v>
      </x:c>
      <x:c r="H47" s="24" t="str">
        <x:v>Closer to High</x:v>
      </x:c>
      <x:c r="I47" s="24" t="str">
        <x:v>WATCH</x:v>
      </x:c>
      <x:c r="J47" s="24" t="str">
        <x:v>WATCH</x:v>
      </x:c>
      <x:c r="K47" s="24" t="str">
        <x:v>https://www.moneycontrol.com/india/stockpricequote/miscellaneous/titancompany/TI01</x:v>
      </x:c>
      <x:c r="L47" s="24" t="str">
        <x:v>https://www.moneycontrol.com/company-facts/titancompany/dividends/TI01/</x:v>
      </x:c>
      <x:c r="M47" s="24" t="str"/>
      <x:c r="N47" t="str">
        <x:v>Secondary research / row source URLs retained</x:v>
      </x:c>
      <x:c r="O47" t="str">
        <x:f>IF(H47=DATE(2026,8,28),"Baseline 28-Aug","Check stale")</x:f>
        <x:v>Check stale</x:v>
      </x:c>
    </x:row>
    <x:row r="48">
      <x:c r="A48" s="24" t="str">
        <x:v>Consumer / premiumisation</x:v>
      </x:c>
      <x:c r="B48" s="24" t="str">
        <x:v>Asian Paints</x:v>
      </x:c>
      <x:c r="C48" s="24" t="str"/>
      <x:c r="D48" s="24" t="str">
        <x:v>7.95, 10.3, 8.9, 11, 12, 18.15, 19.9, 26.4, 32.4, 25.05, 23</x:v>
      </x:c>
      <x:c r="E48" s="25" t="n">
        <x:v>0.0106</x:v>
      </x:c>
      <x:c r="F48" s="26" t="n">
        <x:v>2592.6</x:v>
      </x:c>
      <x:c r="G48" s="24" t="str">
        <x:v>2026-08-28</x:v>
      </x:c>
      <x:c r="H48" s="24" t="str">
        <x:v>Closer to High</x:v>
      </x:c>
      <x:c r="I48" s="24" t="str">
        <x:v>PASS/WATCH</x:v>
      </x:c>
      <x:c r="J48" s="24" t="str">
        <x:v>WATCH</x:v>
      </x:c>
      <x:c r="K48" s="24" t="str">
        <x:v>https://www.moneycontrol.com/india/stockpricequote/paintsvarnishes/asianpaints/AP31</x:v>
      </x:c>
      <x:c r="L48" s="24" t="str">
        <x:v>https://www.moneycontrol.com/company-facts/asianpaints/dividends/AP31/</x:v>
      </x:c>
      <x:c r="M48" s="24" t="str"/>
      <x:c r="N48" t="str">
        <x:v>Secondary research / row source URLs retained</x:v>
      </x:c>
      <x:c r="O48" t="str">
        <x:f>IF(H48=DATE(2026,8,28),"Baseline 28-Aug","Check stale")</x:f>
        <x:v>Check stale</x:v>
      </x:c>
    </x:row>
    <x:row r="49">
      <x:c r="A49" s="24" t="str">
        <x:v>Consumer / premiumisation</x:v>
      </x:c>
      <x:c r="B49" s="24" t="str">
        <x:v>Britannia Industries</x:v>
      </x:c>
      <x:c r="C49" s="24" t="str"/>
      <x:c r="D49" s="24" t="str">
        <x:v>10, 11, 12.5, 15, 118, 74.5, 56.5, 72, 73.5, 75, 90.5</x:v>
      </x:c>
      <x:c r="E49" s="25" t="n">
        <x:v>0.017</x:v>
      </x:c>
      <x:c r="F49" s="26" t="n">
        <x:v>5295</x:v>
      </x:c>
      <x:c r="G49" s="24" t="str">
        <x:v>2026-08-28</x:v>
      </x:c>
      <x:c r="H49" s="24" t="str">
        <x:v>Closer to Low</x:v>
      </x:c>
      <x:c r="I49" s="24" t="str">
        <x:v>PASS</x:v>
      </x:c>
      <x:c r="J49" s="24" t="str">
        <x:v>IN</x:v>
      </x:c>
      <x:c r="K49" s="24" t="str">
        <x:v>https://www.moneycontrol.com/india/stockpricequote/food-processing/britanniaindustries/BI</x:v>
      </x:c>
      <x:c r="L49" s="24" t="str">
        <x:v>https://www.moneycontrol.com/company-facts/britanniaindustries/dividends/BI/</x:v>
      </x:c>
      <x:c r="M49" s="24" t="str"/>
      <x:c r="N49" t="str">
        <x:v>Secondary research / row source URLs retained</x:v>
      </x:c>
      <x:c r="O49" t="str">
        <x:f>IF(H49=DATE(2026,8,28),"Baseline 28-Aug","Check stale")</x:f>
        <x:v>Check stale</x:v>
      </x:c>
    </x:row>
    <x:row r="50">
      <x:c r="A50" s="24" t="str">
        <x:v>Consumer / premiumisation</x:v>
      </x:c>
      <x:c r="B50" s="24" t="str">
        <x:v>Marico</x:v>
      </x:c>
      <x:c r="C50" s="24" t="str"/>
      <x:c r="D50" s="24" t="str">
        <x:v>4, 3.75, 4.5, 5.5, 7, 7.5, 6.25, 7.5, 6.5, 10.5, 2026 pending</x:v>
      </x:c>
      <x:c r="E50" s="25" t="n">
        <x:v>0.0125</x:v>
      </x:c>
      <x:c r="F50" s="26" t="n">
        <x:v>837.35</x:v>
      </x:c>
      <x:c r="G50" s="24" t="str">
        <x:v>2026-08-28</x:v>
      </x:c>
      <x:c r="H50" s="24" t="str">
        <x:v>Closer to High</x:v>
      </x:c>
      <x:c r="I50" s="24" t="str">
        <x:v>PASS</x:v>
      </x:c>
      <x:c r="J50" s="24" t="str">
        <x:v>IN</x:v>
      </x:c>
      <x:c r="K50" s="24" t="str">
        <x:v>https://www.moneycontrol.com/india/stockpricequote/personal-care/marico/M13</x:v>
      </x:c>
      <x:c r="L50" s="24" t="str">
        <x:v>https://www.moneycontrol.com/company-facts/marico/dividends/M13/</x:v>
      </x:c>
      <x:c r="M50" s="24" t="str">
        <x:v>2026 full-year dividend not yet complete.</x:v>
      </x:c>
      <x:c r="N50" t="str">
        <x:v>Secondary research / row source URLs retained</x:v>
      </x:c>
      <x:c r="O50" t="str">
        <x:f>IF(H50=DATE(2026,8,28),"Baseline 28-Aug","Check stale")</x:f>
        <x:v>Check stale</x:v>
      </x:c>
    </x:row>
    <x:row r="51">
      <x:c r="A51" s="24" t="str">
        <x:v>Consumer / premiumisation</x:v>
      </x:c>
      <x:c r="B51" s="24" t="str">
        <x:v>Dabur India</x:v>
      </x:c>
      <x:c r="C51" s="24" t="str"/>
      <x:c r="D51" s="24" t="str">
        <x:v>2.25, 2.25, 7.5, 2.9, 3.35, 5.5, 5.2, 5.45, 5.5, 8, 5.5 YTD</x:v>
      </x:c>
      <x:c r="E51" s="25" t="n">
        <x:v>0.021400000000000002</x:v>
      </x:c>
      <x:c r="F51" s="26" t="n">
        <x:v>386</x:v>
      </x:c>
      <x:c r="G51" s="24" t="str">
        <x:v>2026-08-28</x:v>
      </x:c>
      <x:c r="H51" s="24" t="str">
        <x:v>Closer to Low</x:v>
      </x:c>
      <x:c r="I51" s="24" t="str">
        <x:v>PASS/WATCH</x:v>
      </x:c>
      <x:c r="J51" s="24" t="str">
        <x:v>WATCH</x:v>
      </x:c>
      <x:c r="K51" s="24" t="str">
        <x:v>https://www.moneycontrol.com/india/stockpricequote/personal-care/daburindia/DI</x:v>
      </x:c>
      <x:c r="L51" s="24" t="str">
        <x:v>https://www.moneycontrol.com/company-facts/daburindia/dividends/DI/</x:v>
      </x:c>
      <x:c r="M51" s="24" t="str"/>
      <x:c r="N51" t="str">
        <x:v>Secondary research / row source URLs retained</x:v>
      </x:c>
      <x:c r="O51" t="str">
        <x:f>IF(H51=DATE(2026,8,28),"Baseline 28-Aug","Check stale")</x:f>
        <x:v>Check stale</x:v>
      </x:c>
    </x:row>
  </x:sheetData>
  <x:conditionalFormatting sqref="J2:J51">
    <x:cfRule type="expression" dxfId="0" priority="1">
      <x:formula>J2="IN"</x:formula>
    </x:cfRule>
    <x:cfRule type="expression" dxfId="1" priority="2">
      <x:formula>J2="WATCH"</x:formula>
    </x:cfRule>
    <x:cfRule type="expression" dxfId="2" priority="3">
      <x:formula>J2="OUT"</x:formula>
    </x:cfRule>
  </x:conditionalFormatting>
  <x:conditionalFormatting sqref="O2:O51">
    <x:cfRule type="expression" dxfId="5" priority="4">
      <x:formula>O2="Check stale"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a2d2e9cd8c44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3" hidden="0" customWidth="1"/>
    <x:col min="5" max="5" width="15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35" hidden="0" customWidth="1"/>
  </x:cols>
  <x:sheetData>
    <x:row r="1">
      <x:c r="A1" s="18" t="str">
        <x:v>Review date</x:v>
      </x:c>
      <x:c r="B1" s="18" t="str">
        <x:v>Industry</x:v>
      </x:c>
      <x:c r="C1" s="18" t="str">
        <x:v>Stock</x:v>
      </x:c>
      <x:c r="D1" s="18" t="str">
        <x:v>Dividend yield</x:v>
      </x:c>
      <x:c r="E1" s="18" t="str">
        <x:v>Market price (₹)</x:v>
      </x:c>
      <x:c r="F1" s="18" t="str">
        <x:v>52W position</x:v>
      </x:c>
      <x:c r="G1" s="18" t="str">
        <x:v>5Y screen</x:v>
      </x:c>
      <x:c r="H1" s="18" t="str">
        <x:v>Methodology status</x:v>
      </x:c>
      <x:c r="I1" s="18" t="str">
        <x:v>Industry status</x:v>
      </x:c>
      <x:c r="J1" s="18" t="str">
        <x:v>Notes</x:v>
      </x:c>
    </x:row>
    <x:row r="2">
      <x:c r="A2" s="2" t="n">
        <x:v>46262</x:v>
      </x:c>
      <x:c r="B2" t="str">
        <x:v>Defence</x:v>
      </x:c>
      <x:c r="C2" t="str">
        <x:v>Bharat Electronics (BEL)</x:v>
      </x:c>
      <x:c r="D2" s="20" t="n">
        <x:v>0.0060999999999999995</x:v>
      </x:c>
      <x:c r="E2" s="22" t="n">
        <x:v>410.05</x:v>
      </x:c>
      <x:c r="F2" t="str">
        <x:v>Closer to Low</x:v>
      </x:c>
      <x:c r="G2" t="str">
        <x:v>PASS</x:v>
      </x:c>
      <x:c r="H2" t="str">
        <x:v>IN</x:v>
      </x:c>
      <x:c r="I2" t="str">
        <x:v>IN</x:v>
      </x:c>
      <x:c r="J2" t="str">
        <x:v>Baseline</x:v>
      </x:c>
    </x:row>
    <x:row r="3">
      <x:c r="A3" s="2" t="n">
        <x:v>46262</x:v>
      </x:c>
      <x:c r="B3" t="str">
        <x:v>Defence</x:v>
      </x:c>
      <x:c r="C3" t="str">
        <x:v>BEML</x:v>
      </x:c>
      <x:c r="D3" s="20" t="n">
        <x:v>0.0025</x:v>
      </x:c>
      <x:c r="E3" s="22" t="n">
        <x:v>1972</x:v>
      </x:c>
      <x:c r="F3" t="str">
        <x:v>Closer to High</x:v>
      </x:c>
      <x:c r="G3" t="str">
        <x:v>PASS</x:v>
      </x:c>
      <x:c r="H3" t="str">
        <x:v>IN</x:v>
      </x:c>
      <x:c r="I3" t="str">
        <x:v>IN</x:v>
      </x:c>
      <x:c r="J3" t="str">
        <x:v>Baseline</x:v>
      </x:c>
    </x:row>
    <x:row r="4">
      <x:c r="A4" s="2" t="n">
        <x:v>46262</x:v>
      </x:c>
      <x:c r="B4" t="str">
        <x:v>Defence</x:v>
      </x:c>
      <x:c r="C4" t="str">
        <x:v>Bharat Forge</x:v>
      </x:c>
      <x:c r="D4" s="20" t="n">
        <x:v>0.0040999999999999995</x:v>
      </x:c>
      <x:c r="E4" s="22" t="n">
        <x:v>2047</x:v>
      </x:c>
      <x:c r="F4" t="str">
        <x:v>Closer to High</x:v>
      </x:c>
      <x:c r="G4" t="str">
        <x:v>WATCH</x:v>
      </x:c>
      <x:c r="H4" t="str">
        <x:v>WATCH</x:v>
      </x:c>
      <x:c r="I4" t="str">
        <x:v>IN</x:v>
      </x:c>
      <x:c r="J4" t="str">
        <x:v>Baseline</x:v>
      </x:c>
    </x:row>
    <x:row r="5">
      <x:c r="A5" s="2" t="n">
        <x:v>46262</x:v>
      </x:c>
      <x:c r="B5" t="str">
        <x:v>Defence</x:v>
      </x:c>
      <x:c r="C5" t="str">
        <x:v>Solar Industries India</x:v>
      </x:c>
      <x:c r="D5" s="20" t="n">
        <x:v>0.0006</x:v>
      </x:c>
      <x:c r="E5" s="22" t="n">
        <x:v>20380</x:v>
      </x:c>
      <x:c r="F5" t="str">
        <x:v>Closer to High</x:v>
      </x:c>
      <x:c r="G5" t="str">
        <x:v>WATCH</x:v>
      </x:c>
      <x:c r="H5" t="str">
        <x:v>WATCH</x:v>
      </x:c>
      <x:c r="I5" t="str">
        <x:v>IN</x:v>
      </x:c>
      <x:c r="J5" t="str">
        <x:v>Baseline</x:v>
      </x:c>
    </x:row>
    <x:row r="6">
      <x:c r="A6" s="2" t="n">
        <x:v>46262</x:v>
      </x:c>
      <x:c r="B6" t="str">
        <x:v>Defence</x:v>
      </x:c>
      <x:c r="C6" t="str">
        <x:v>Astra Microwave Products</x:v>
      </x:c>
      <x:c r="D6" s="20" t="n">
        <x:v>0.0014000000000000002</x:v>
      </x:c>
      <x:c r="E6" s="22" t="n">
        <x:v>1678.5</x:v>
      </x:c>
      <x:c r="F6" t="str">
        <x:v>Not verified</x:v>
      </x:c>
      <x:c r="G6" t="str">
        <x:v>WATCH</x:v>
      </x:c>
      <x:c r="H6" t="str">
        <x:v>WATCH</x:v>
      </x:c>
      <x:c r="I6" t="str">
        <x:v>IN</x:v>
      </x:c>
      <x:c r="J6" t="str">
        <x:v>Baseline</x:v>
      </x:c>
    </x:row>
    <x:row r="7">
      <x:c r="A7" s="2" t="n">
        <x:v>46262</x:v>
      </x:c>
      <x:c r="B7" t="str">
        <x:v>Power / T&amp;D</x:v>
      </x:c>
      <x:c r="C7" t="str">
        <x:v>KEC International</x:v>
      </x:c>
      <x:c r="D7" s="20" t="n">
        <x:v>0.0128</x:v>
      </x:c>
      <x:c r="E7" s="22" t="n">
        <x:v>427.6</x:v>
      </x:c>
      <x:c r="F7" t="str">
        <x:v>Closer to Low</x:v>
      </x:c>
      <x:c r="G7" t="str">
        <x:v>PASS</x:v>
      </x:c>
      <x:c r="H7" t="str">
        <x:v>IN</x:v>
      </x:c>
      <x:c r="I7" t="str">
        <x:v>IN</x:v>
      </x:c>
      <x:c r="J7" t="str">
        <x:v>Baseline</x:v>
      </x:c>
    </x:row>
    <x:row r="8">
      <x:c r="A8" s="2" t="n">
        <x:v>46262</x:v>
      </x:c>
      <x:c r="B8" t="str">
        <x:v>Power / T&amp;D</x:v>
      </x:c>
      <x:c r="C8" t="str">
        <x:v>KEI Industries</x:v>
      </x:c>
      <x:c r="D8" s="20" t="n">
        <x:v>0.0008</x:v>
      </x:c>
      <x:c r="E8" s="22" t="n">
        <x:v>5555.83</x:v>
      </x:c>
      <x:c r="F8" t="str">
        <x:v>Closer to High</x:v>
      </x:c>
      <x:c r="G8" t="str">
        <x:v>WATCH</x:v>
      </x:c>
      <x:c r="H8" t="str">
        <x:v>WATCH</x:v>
      </x:c>
      <x:c r="I8" t="str">
        <x:v>IN</x:v>
      </x:c>
      <x:c r="J8" t="str">
        <x:v>Baseline</x:v>
      </x:c>
    </x:row>
    <x:row r="9">
      <x:c r="A9" s="2" t="n">
        <x:v>46262</x:v>
      </x:c>
      <x:c r="B9" t="str">
        <x:v>Power / T&amp;D</x:v>
      </x:c>
      <x:c r="C9" t="str">
        <x:v>Kalpataru Projects International</x:v>
      </x:c>
      <x:c r="D9" s="20" t="n">
        <x:v>0.008</x:v>
      </x:c>
      <x:c r="E9" s="22" t="n">
        <x:v>1401.1</x:v>
      </x:c>
      <x:c r="F9" t="str">
        <x:v>Closer to High</x:v>
      </x:c>
      <x:c r="G9" t="str">
        <x:v>PASS</x:v>
      </x:c>
      <x:c r="H9" t="str">
        <x:v>IN</x:v>
      </x:c>
      <x:c r="I9" t="str">
        <x:v>IN</x:v>
      </x:c>
      <x:c r="J9" t="str">
        <x:v>Baseline</x:v>
      </x:c>
    </x:row>
    <x:row r="10">
      <x:c r="A10" s="2" t="n">
        <x:v>46262</x:v>
      </x:c>
      <x:c r="B10" t="str">
        <x:v>Power / T&amp;D</x:v>
      </x:c>
      <x:c r="C10" t="str">
        <x:v>Power Grid Corporation</x:v>
      </x:c>
      <x:c r="D10" s="20" t="n">
        <x:v>0.0339</x:v>
      </x:c>
      <x:c r="E10" s="22" t="n">
        <x:v>265.95</x:v>
      </x:c>
      <x:c r="F10" t="str">
        <x:v>Closer to Low</x:v>
      </x:c>
      <x:c r="G10" t="str">
        <x:v>PASS</x:v>
      </x:c>
      <x:c r="H10" t="str">
        <x:v>IN</x:v>
      </x:c>
      <x:c r="I10" t="str">
        <x:v>IN</x:v>
      </x:c>
      <x:c r="J10" t="str">
        <x:v>Baseline</x:v>
      </x:c>
    </x:row>
    <x:row r="11">
      <x:c r="A11" s="2" t="n">
        <x:v>46262</x:v>
      </x:c>
      <x:c r="B11" t="str">
        <x:v>Power / T&amp;D</x:v>
      </x:c>
      <x:c r="C11" t="str">
        <x:v>NTPC</x:v>
      </x:c>
      <x:c r="D11" s="20" t="n">
        <x:v>0.026000000000000002</x:v>
      </x:c>
      <x:c r="E11" s="22" t="n">
        <x:v>330.6</x:v>
      </x:c>
      <x:c r="F11" t="str">
        <x:v>Closer to Low</x:v>
      </x:c>
      <x:c r="G11" t="str">
        <x:v>PASS</x:v>
      </x:c>
      <x:c r="H11" t="str">
        <x:v>IN</x:v>
      </x:c>
      <x:c r="I11" t="str">
        <x:v>IN</x:v>
      </x:c>
      <x:c r="J11" t="str">
        <x:v>Baseline</x:v>
      </x:c>
    </x:row>
    <x:row r="12">
      <x:c r="A12" s="2" t="n">
        <x:v>46262</x:v>
      </x:c>
      <x:c r="B12" t="str">
        <x:v>Electronics / EMS</x:v>
      </x:c>
      <x:c r="C12" t="str">
        <x:v>Honeywell Automation India</x:v>
      </x:c>
      <x:c r="D12" s="20" t="n">
        <x:v>0.003</x:v>
      </x:c>
      <x:c r="E12" s="22" t="n">
        <x:v>36888</x:v>
      </x:c>
      <x:c r="F12" t="str">
        <x:v>Closer to High</x:v>
      </x:c>
      <x:c r="G12" t="str">
        <x:v>WATCH</x:v>
      </x:c>
      <x:c r="H12" t="str">
        <x:v>WATCH</x:v>
      </x:c>
      <x:c r="I12" t="str">
        <x:v>IN</x:v>
      </x:c>
      <x:c r="J12" t="str">
        <x:v>Baseline</x:v>
      </x:c>
    </x:row>
    <x:row r="13">
      <x:c r="A13" s="2" t="n">
        <x:v>46262</x:v>
      </x:c>
      <x:c r="B13" t="str">
        <x:v>Electronics / EMS</x:v>
      </x:c>
      <x:c r="C13" t="str">
        <x:v>Centum Electronics</x:v>
      </x:c>
      <x:c r="D13" s="20" t="n">
        <x:v>0.0015</x:v>
      </x:c>
      <x:c r="E13" s="22" t="n">
        <x:v>3444.44</x:v>
      </x:c>
      <x:c r="F13" t="str">
        <x:v>Closer to High</x:v>
      </x:c>
      <x:c r="G13" t="str">
        <x:v>WATCH</x:v>
      </x:c>
      <x:c r="H13" t="str">
        <x:v>WATCH</x:v>
      </x:c>
      <x:c r="I13" t="str">
        <x:v>IN</x:v>
      </x:c>
      <x:c r="J13" t="str">
        <x:v>Baseline</x:v>
      </x:c>
    </x:row>
    <x:row r="14">
      <x:c r="A14" s="2" t="n">
        <x:v>46262</x:v>
      </x:c>
      <x:c r="B14" t="str">
        <x:v>Electronics / EMS</x:v>
      </x:c>
      <x:c r="C14" t="str">
        <x:v>Dixon Technologies</x:v>
      </x:c>
      <x:c r="D14" s="20" t="n">
        <x:v>0.0007000000000000001</x:v>
      </x:c>
      <x:c r="E14" s="22" t="n">
        <x:v>14762</x:v>
      </x:c>
      <x:c r="F14" t="str">
        <x:v>Closer to High</x:v>
      </x:c>
      <x:c r="G14" t="str">
        <x:v>WATCH</x:v>
      </x:c>
      <x:c r="H14" t="str">
        <x:v>WATCH</x:v>
      </x:c>
      <x:c r="I14" t="str">
        <x:v>IN</x:v>
      </x:c>
      <x:c r="J14" t="str">
        <x:v>Baseline</x:v>
      </x:c>
    </x:row>
    <x:row r="15">
      <x:c r="A15" s="2" t="n">
        <x:v>46262</x:v>
      </x:c>
      <x:c r="B15" t="str">
        <x:v>Electronics / EMS</x:v>
      </x:c>
      <x:c r="C15" t="str">
        <x:v>Polycab India</x:v>
      </x:c>
      <x:c r="D15" s="20" t="n">
        <x:v>0.005</x:v>
      </x:c>
      <x:c r="E15" s="22" t="n">
        <x:v>9080.4</x:v>
      </x:c>
      <x:c r="F15" t="str">
        <x:v>Closer to High</x:v>
      </x:c>
      <x:c r="G15" t="str">
        <x:v>PASS</x:v>
      </x:c>
      <x:c r="H15" t="str">
        <x:v>IN</x:v>
      </x:c>
      <x:c r="I15" t="str">
        <x:v>IN</x:v>
      </x:c>
      <x:c r="J15" t="str">
        <x:v>Baseline</x:v>
      </x:c>
    </x:row>
    <x:row r="16">
      <x:c r="A16" s="2" t="n">
        <x:v>46262</x:v>
      </x:c>
      <x:c r="B16" t="str">
        <x:v>Electronics / EMS</x:v>
      </x:c>
      <x:c r="C16" t="str">
        <x:v>Data Patterns (India)</x:v>
      </x:c>
      <x:c r="D16" s="20" t="n">
        <x:v>0.0021</x:v>
      </x:c>
      <x:c r="E16" s="22" t="n">
        <x:v>4636.15</x:v>
      </x:c>
      <x:c r="F16" t="str">
        <x:v>Closer to High</x:v>
      </x:c>
      <x:c r="G16" t="str">
        <x:v>WATCH</x:v>
      </x:c>
      <x:c r="H16" t="str">
        <x:v>WATCH</x:v>
      </x:c>
      <x:c r="I16" t="str">
        <x:v>IN</x:v>
      </x:c>
      <x:c r="J16" t="str">
        <x:v>Baseline</x:v>
      </x:c>
    </x:row>
    <x:row r="17">
      <x:c r="A17" s="2" t="n">
        <x:v>46262</x:v>
      </x:c>
      <x:c r="B17" t="str">
        <x:v>Capital goods</x:v>
      </x:c>
      <x:c r="C17" t="str">
        <x:v>Larsen &amp; Toubro</x:v>
      </x:c>
      <x:c r="D17" s="20" t="n">
        <x:v>0.009399999999999999</x:v>
      </x:c>
      <x:c r="E17" s="22" t="n">
        <x:v>4035.4</x:v>
      </x:c>
      <x:c r="F17" t="str">
        <x:v>Closer to High</x:v>
      </x:c>
      <x:c r="G17" t="str">
        <x:v>PASS</x:v>
      </x:c>
      <x:c r="H17" t="str">
        <x:v>IN</x:v>
      </x:c>
      <x:c r="I17" t="str">
        <x:v>IN</x:v>
      </x:c>
      <x:c r="J17" t="str">
        <x:v>Baseline</x:v>
      </x:c>
    </x:row>
    <x:row r="18">
      <x:c r="A18" s="2" t="n">
        <x:v>46262</x:v>
      </x:c>
      <x:c r="B18" t="str">
        <x:v>Capital goods</x:v>
      </x:c>
      <x:c r="C18" t="str">
        <x:v>Cummins India</x:v>
      </x:c>
      <x:c r="D18" s="20" t="n">
        <x:v>0.013000000000000001</x:v>
      </x:c>
      <x:c r="E18" s="22" t="n">
        <x:v>5162</x:v>
      </x:c>
      <x:c r="F18" t="str">
        <x:v>Closer to High</x:v>
      </x:c>
      <x:c r="G18" t="str">
        <x:v>WATCH</x:v>
      </x:c>
      <x:c r="H18" t="str">
        <x:v>WATCH</x:v>
      </x:c>
      <x:c r="I18" t="str">
        <x:v>IN</x:v>
      </x:c>
      <x:c r="J18" t="str">
        <x:v>Baseline</x:v>
      </x:c>
    </x:row>
    <x:row r="19">
      <x:c r="A19" s="2" t="n">
        <x:v>46262</x:v>
      </x:c>
      <x:c r="B19" t="str">
        <x:v>Capital goods</x:v>
      </x:c>
      <x:c r="C19" t="str">
        <x:v>Thermax</x:v>
      </x:c>
      <x:c r="D19" s="20" t="n">
        <x:v>0.005</x:v>
      </x:c>
      <x:c r="E19" s="22" t="n">
        <x:v>3942</x:v>
      </x:c>
      <x:c r="F19" t="str">
        <x:v>Closer to Low</x:v>
      </x:c>
      <x:c r="G19" t="str">
        <x:v>PASS/WATCH</x:v>
      </x:c>
      <x:c r="H19" t="str">
        <x:v>WATCH</x:v>
      </x:c>
      <x:c r="I19" t="str">
        <x:v>IN</x:v>
      </x:c>
      <x:c r="J19" t="str">
        <x:v>Baseline</x:v>
      </x:c>
    </x:row>
    <x:row r="20">
      <x:c r="A20" s="2" t="n">
        <x:v>46262</x:v>
      </x:c>
      <x:c r="B20" t="str">
        <x:v>Capital goods</x:v>
      </x:c>
      <x:c r="C20" t="str">
        <x:v>ABB India</x:v>
      </x:c>
      <x:c r="D20" s="20" t="n">
        <x:v>0.016</x:v>
      </x:c>
      <x:c r="E20" s="22" t="n">
        <x:v>7505.3</x:v>
      </x:c>
      <x:c r="F20" t="str">
        <x:v>Closer to High</x:v>
      </x:c>
      <x:c r="G20" t="str">
        <x:v>WATCH</x:v>
      </x:c>
      <x:c r="H20" t="str">
        <x:v>WATCH</x:v>
      </x:c>
      <x:c r="I20" t="str">
        <x:v>IN</x:v>
      </x:c>
      <x:c r="J20" t="str">
        <x:v>Baseline</x:v>
      </x:c>
    </x:row>
    <x:row r="21">
      <x:c r="A21" s="2" t="n">
        <x:v>46262</x:v>
      </x:c>
      <x:c r="B21" t="str">
        <x:v>Capital goods</x:v>
      </x:c>
      <x:c r="C21" t="str">
        <x:v>Siemens India</x:v>
      </x:c>
      <x:c r="D21" s="20" t="n">
        <x:v>0.0044</x:v>
      </x:c>
      <x:c r="E21" s="22" t="n">
        <x:v>4083</x:v>
      </x:c>
      <x:c r="F21" t="str">
        <x:v>Closer to High</x:v>
      </x:c>
      <x:c r="G21" t="str">
        <x:v>PASS/WATCH</x:v>
      </x:c>
      <x:c r="H21" t="str">
        <x:v>WATCH</x:v>
      </x:c>
      <x:c r="I21" t="str">
        <x:v>IN</x:v>
      </x:c>
      <x:c r="J21" t="str">
        <x:v>Baseline</x:v>
      </x:c>
    </x:row>
    <x:row r="22">
      <x:c r="A22" s="2" t="n">
        <x:v>46262</x:v>
      </x:c>
      <x:c r="B22" t="str">
        <x:v>Telecom / digital infra</x:v>
      </x:c>
      <x:c r="C22" t="str">
        <x:v>Tata Communications</x:v>
      </x:c>
      <x:c r="D22" s="20" t="n">
        <x:v>0.01</x:v>
      </x:c>
      <x:c r="E22" s="22" t="n">
        <x:v>1664.7</x:v>
      </x:c>
      <x:c r="F22" t="str">
        <x:v>Closer to Low</x:v>
      </x:c>
      <x:c r="G22" t="str">
        <x:v>PASS</x:v>
      </x:c>
      <x:c r="H22" t="str">
        <x:v>IN</x:v>
      </x:c>
      <x:c r="I22" t="str">
        <x:v>IN</x:v>
      </x:c>
      <x:c r="J22" t="str">
        <x:v>Baseline</x:v>
      </x:c>
    </x:row>
    <x:row r="23">
      <x:c r="A23" s="2" t="n">
        <x:v>46262</x:v>
      </x:c>
      <x:c r="B23" t="str">
        <x:v>Telecom / digital infra</x:v>
      </x:c>
      <x:c r="C23" t="str">
        <x:v>RailTel Corporation</x:v>
      </x:c>
      <x:c r="D23" s="20" t="n">
        <x:v>0.008</x:v>
      </x:c>
      <x:c r="E23" s="22" t="n">
        <x:v>279</x:v>
      </x:c>
      <x:c r="F23" t="str">
        <x:v>Closer to Low</x:v>
      </x:c>
      <x:c r="G23" t="str">
        <x:v>WATCH</x:v>
      </x:c>
      <x:c r="H23" t="str">
        <x:v>WATCH</x:v>
      </x:c>
      <x:c r="I23" t="str">
        <x:v>IN</x:v>
      </x:c>
      <x:c r="J23" t="str">
        <x:v>Baseline</x:v>
      </x:c>
    </x:row>
    <x:row r="24">
      <x:c r="A24" s="2" t="n">
        <x:v>46262</x:v>
      </x:c>
      <x:c r="B24" t="str">
        <x:v>Telecom / digital infra</x:v>
      </x:c>
      <x:c r="C24" t="str">
        <x:v>Route Mobile</x:v>
      </x:c>
      <x:c r="D24" s="20" t="n">
        <x:v>0.02</x:v>
      </x:c>
      <x:c r="E24" s="22" t="n">
        <x:v>509.5</x:v>
      </x:c>
      <x:c r="F24" t="str">
        <x:v>Closer to Low</x:v>
      </x:c>
      <x:c r="G24" t="str">
        <x:v>PASS/WATCH</x:v>
      </x:c>
      <x:c r="H24" t="str">
        <x:v>WATCH</x:v>
      </x:c>
      <x:c r="I24" t="str">
        <x:v>IN</x:v>
      </x:c>
      <x:c r="J24" t="str">
        <x:v>Baseline</x:v>
      </x:c>
    </x:row>
    <x:row r="25">
      <x:c r="A25" s="2" t="n">
        <x:v>46262</x:v>
      </x:c>
      <x:c r="B25" t="str">
        <x:v>Telecom / digital infra</x:v>
      </x:c>
      <x:c r="C25" t="str">
        <x:v>GTPL Hathway</x:v>
      </x:c>
      <x:c r="D25" s="20" t="n">
        <x:v>0.037000000000000005</x:v>
      </x:c>
      <x:c r="E25" s="22" t="n">
        <x:v>53.95</x:v>
      </x:c>
      <x:c r="F25" t="str">
        <x:v>Closer to Low</x:v>
      </x:c>
      <x:c r="G25" t="str">
        <x:v>WATCH</x:v>
      </x:c>
      <x:c r="H25" t="str">
        <x:v>WATCH</x:v>
      </x:c>
      <x:c r="I25" t="str">
        <x:v>IN</x:v>
      </x:c>
      <x:c r="J25" t="str">
        <x:v>Baseline</x:v>
      </x:c>
    </x:row>
    <x:row r="26">
      <x:c r="A26" s="2" t="n">
        <x:v>46262</x:v>
      </x:c>
      <x:c r="B26" t="str">
        <x:v>Telecom / digital infra</x:v>
      </x:c>
      <x:c r="C26" t="str">
        <x:v>Bharti Hexacom</x:v>
      </x:c>
      <x:c r="D26" s="20" t="n">
        <x:v>0.0111</x:v>
      </x:c>
      <x:c r="E26" s="22" t="n">
        <x:v>1555.1</x:v>
      </x:c>
      <x:c r="F26" t="str">
        <x:v>Closer to Low</x:v>
      </x:c>
      <x:c r="G26" t="str">
        <x:v>PASS</x:v>
      </x:c>
      <x:c r="H26" t="str">
        <x:v>IN</x:v>
      </x:c>
      <x:c r="I26" t="str">
        <x:v>IN</x:v>
      </x:c>
      <x:c r="J26" t="str">
        <x:v>Baseline</x:v>
      </x:c>
    </x:row>
    <x:row r="27">
      <x:c r="A27" s="2" t="n">
        <x:v>46262</x:v>
      </x:c>
      <x:c r="B27" t="str">
        <x:v>Financials</x:v>
      </x:c>
      <x:c r="C27" t="str">
        <x:v>Bajaj Finance</x:v>
      </x:c>
      <x:c r="D27" s="20" t="n">
        <x:v>0.006</x:v>
      </x:c>
      <x:c r="E27" s="22" t="n">
        <x:v>1080</x:v>
      </x:c>
      <x:c r="F27" t="str">
        <x:v>Closer to High</x:v>
      </x:c>
      <x:c r="G27" t="str">
        <x:v>PASS</x:v>
      </x:c>
      <x:c r="H27" t="str">
        <x:v>IN</x:v>
      </x:c>
      <x:c r="I27" t="str">
        <x:v>IN</x:v>
      </x:c>
      <x:c r="J27" t="str">
        <x:v>Baseline</x:v>
      </x:c>
    </x:row>
    <x:row r="28">
      <x:c r="A28" s="2" t="n">
        <x:v>46262</x:v>
      </x:c>
      <x:c r="B28" t="str">
        <x:v>Financials</x:v>
      </x:c>
      <x:c r="C28" t="str">
        <x:v>Bajaj Finserv</x:v>
      </x:c>
      <x:c r="D28" s="20" t="n">
        <x:v>0.0008</x:v>
      </x:c>
      <x:c r="E28" s="22" t="n">
        <x:v>1990</x:v>
      </x:c>
      <x:c r="F28" t="str">
        <x:v>Closer to High</x:v>
      </x:c>
      <x:c r="G28" t="str">
        <x:v>PASS/WATCH</x:v>
      </x:c>
      <x:c r="H28" t="str">
        <x:v>WATCH</x:v>
      </x:c>
      <x:c r="I28" t="str">
        <x:v>IN</x:v>
      </x:c>
      <x:c r="J28" t="str">
        <x:v>Baseline</x:v>
      </x:c>
    </x:row>
    <x:row r="29">
      <x:c r="A29" s="2" t="n">
        <x:v>46262</x:v>
      </x:c>
      <x:c r="B29" t="str">
        <x:v>Financials</x:v>
      </x:c>
      <x:c r="C29" t="str">
        <x:v>Shriram Finance</x:v>
      </x:c>
      <x:c r="D29" s="20" t="n">
        <x:v>0.01</x:v>
      </x:c>
      <x:c r="E29" s="22" t="n">
        <x:v>1095.2</x:v>
      </x:c>
      <x:c r="F29" t="str">
        <x:v>Closer to High</x:v>
      </x:c>
      <x:c r="G29" t="str">
        <x:v>PASS</x:v>
      </x:c>
      <x:c r="H29" t="str">
        <x:v>IN</x:v>
      </x:c>
      <x:c r="I29" t="str">
        <x:v>IN</x:v>
      </x:c>
      <x:c r="J29" t="str">
        <x:v>Baseline</x:v>
      </x:c>
    </x:row>
    <x:row r="30">
      <x:c r="A30" s="2" t="n">
        <x:v>46262</x:v>
      </x:c>
      <x:c r="B30" t="str">
        <x:v>Financials</x:v>
      </x:c>
      <x:c r="C30" t="str">
        <x:v>Cholamandalam Investment &amp; Finance</x:v>
      </x:c>
      <x:c r="D30" s="20" t="n">
        <x:v>0.001</x:v>
      </x:c>
      <x:c r="E30" s="22" t="n">
        <x:v>1851.8</x:v>
      </x:c>
      <x:c r="F30" t="str">
        <x:v>Closer to High</x:v>
      </x:c>
      <x:c r="G30" t="str">
        <x:v>PASS/WATCH</x:v>
      </x:c>
      <x:c r="H30" t="str">
        <x:v>WATCH</x:v>
      </x:c>
      <x:c r="I30" t="str">
        <x:v>IN</x:v>
      </x:c>
      <x:c r="J30" t="str">
        <x:v>Baseline</x:v>
      </x:c>
    </x:row>
    <x:row r="31">
      <x:c r="A31" s="2" t="n">
        <x:v>46262</x:v>
      </x:c>
      <x:c r="B31" t="str">
        <x:v>Financials</x:v>
      </x:c>
      <x:c r="C31" t="str">
        <x:v>Bajaj Holdings &amp; Investment</x:v>
      </x:c>
      <x:c r="D31" s="20" t="n">
        <x:v>0.011000000000000001</x:v>
      </x:c>
      <x:c r="E31" s="22" t="n">
        <x:v>11366</x:v>
      </x:c>
      <x:c r="F31" t="str">
        <x:v>Closer to High</x:v>
      </x:c>
      <x:c r="G31" t="str">
        <x:v>PASS/WATCH</x:v>
      </x:c>
      <x:c r="H31" t="str">
        <x:v>WATCH</x:v>
      </x:c>
      <x:c r="I31" t="str">
        <x:v>IN</x:v>
      </x:c>
      <x:c r="J31" t="str">
        <x:v>Baseline</x:v>
      </x:c>
    </x:row>
    <x:row r="32">
      <x:c r="A32" s="2" t="n">
        <x:v>46262</x:v>
      </x:c>
      <x:c r="B32" t="str">
        <x:v>Pharma / healthcare</x:v>
      </x:c>
      <x:c r="C32" t="str">
        <x:v>Sun Pharma</x:v>
      </x:c>
      <x:c r="D32" s="20" t="n">
        <x:v>0.008</x:v>
      </x:c>
      <x:c r="E32" s="22" t="n">
        <x:v>1921.3</x:v>
      </x:c>
      <x:c r="F32" t="str">
        <x:v>Closer to High</x:v>
      </x:c>
      <x:c r="G32" t="str">
        <x:v>PASS</x:v>
      </x:c>
      <x:c r="H32" t="str">
        <x:v>IN</x:v>
      </x:c>
      <x:c r="I32" t="str">
        <x:v>IN</x:v>
      </x:c>
      <x:c r="J32" t="str">
        <x:v>Baseline</x:v>
      </x:c>
    </x:row>
    <x:row r="33">
      <x:c r="A33" s="2" t="n">
        <x:v>46262</x:v>
      </x:c>
      <x:c r="B33" t="str">
        <x:v>Pharma / healthcare</x:v>
      </x:c>
      <x:c r="C33" t="str">
        <x:v>Lupin</x:v>
      </x:c>
      <x:c r="D33" s="20" t="n">
        <x:v>0.008</x:v>
      </x:c>
      <x:c r="E33" s="22" t="n">
        <x:v>2168</x:v>
      </x:c>
      <x:c r="F33" t="str">
        <x:v>Closer to Low</x:v>
      </x:c>
      <x:c r="G33" t="str">
        <x:v>PASS/WATCH</x:v>
      </x:c>
      <x:c r="H33" t="str">
        <x:v>WATCH</x:v>
      </x:c>
      <x:c r="I33" t="str">
        <x:v>IN</x:v>
      </x:c>
      <x:c r="J33" t="str">
        <x:v>Baseline</x:v>
      </x:c>
    </x:row>
    <x:row r="34">
      <x:c r="A34" s="2" t="n">
        <x:v>46262</x:v>
      </x:c>
      <x:c r="B34" t="str">
        <x:v>Pharma / healthcare</x:v>
      </x:c>
      <x:c r="C34" t="str">
        <x:v>Dr Reddy's Laboratories</x:v>
      </x:c>
      <x:c r="D34" s="20" t="n">
        <x:v>0.0068000000000000005</x:v>
      </x:c>
      <x:c r="E34" s="22" t="n">
        <x:v>1174</x:v>
      </x:c>
      <x:c r="F34" t="str">
        <x:v>Closer to Low</x:v>
      </x:c>
      <x:c r="G34" t="str">
        <x:v>PASS</x:v>
      </x:c>
      <x:c r="H34" t="str">
        <x:v>IN</x:v>
      </x:c>
      <x:c r="I34" t="str">
        <x:v>IN</x:v>
      </x:c>
      <x:c r="J34" t="str">
        <x:v>Baseline</x:v>
      </x:c>
    </x:row>
    <x:row r="35">
      <x:c r="A35" s="2" t="n">
        <x:v>46262</x:v>
      </x:c>
      <x:c r="B35" t="str">
        <x:v>Pharma / healthcare</x:v>
      </x:c>
      <x:c r="C35" t="str">
        <x:v>Cipla</x:v>
      </x:c>
      <x:c r="D35" s="20" t="n">
        <x:v>0.008</x:v>
      </x:c>
      <x:c r="E35" s="22" t="n">
        <x:v>1423</x:v>
      </x:c>
      <x:c r="F35" t="str">
        <x:v>Closer to High</x:v>
      </x:c>
      <x:c r="G35" t="str">
        <x:v>PASS</x:v>
      </x:c>
      <x:c r="H35" t="str">
        <x:v>IN</x:v>
      </x:c>
      <x:c r="I35" t="str">
        <x:v>IN</x:v>
      </x:c>
      <x:c r="J35" t="str">
        <x:v>Baseline</x:v>
      </x:c>
    </x:row>
    <x:row r="36">
      <x:c r="A36" s="2" t="n">
        <x:v>46262</x:v>
      </x:c>
      <x:c r="B36" t="str">
        <x:v>Pharma / healthcare</x:v>
      </x:c>
      <x:c r="C36" t="str">
        <x:v>Torrent Pharmaceuticals</x:v>
      </x:c>
      <x:c r="D36" s="20" t="n">
        <x:v>0.008</x:v>
      </x:c>
      <x:c r="E36" s="22" t="n">
        <x:v>5012</x:v>
      </x:c>
      <x:c r="F36" t="str">
        <x:v>Closer to High</x:v>
      </x:c>
      <x:c r="G36" t="str">
        <x:v>PASS/WATCH</x:v>
      </x:c>
      <x:c r="H36" t="str">
        <x:v>WATCH</x:v>
      </x:c>
      <x:c r="I36" t="str">
        <x:v>IN</x:v>
      </x:c>
      <x:c r="J36" t="str">
        <x:v>Baseline</x:v>
      </x:c>
    </x:row>
    <x:row r="37">
      <x:c r="A37" s="2" t="n">
        <x:v>46262</x:v>
      </x:c>
      <x:c r="B37" t="str">
        <x:v>Auto components / engineering</x:v>
      </x:c>
      <x:c r="C37" t="str">
        <x:v>Samvardhana Motherson International</x:v>
      </x:c>
      <x:c r="D37" s="20" t="n">
        <x:v>0.0034999999999999996</x:v>
      </x:c>
      <x:c r="E37" s="22" t="n">
        <x:v>166.67</x:v>
      </x:c>
      <x:c r="F37" t="str">
        <x:v>Closer to High</x:v>
      </x:c>
      <x:c r="G37" t="str">
        <x:v>PASS</x:v>
      </x:c>
      <x:c r="H37" t="str">
        <x:v>IN</x:v>
      </x:c>
      <x:c r="I37" t="str">
        <x:v>IN</x:v>
      </x:c>
      <x:c r="J37" t="str">
        <x:v>Baseline</x:v>
      </x:c>
    </x:row>
    <x:row r="38">
      <x:c r="A38" s="2" t="n">
        <x:v>46262</x:v>
      </x:c>
      <x:c r="B38" t="str">
        <x:v>Auto components / engineering</x:v>
      </x:c>
      <x:c r="C38" t="str">
        <x:v>Bosch India</x:v>
      </x:c>
      <x:c r="D38" s="20" t="n">
        <x:v>0.0055000000000000005</x:v>
      </x:c>
      <x:c r="E38" s="22" t="n">
        <x:v>51215</x:v>
      </x:c>
      <x:c r="F38" t="str">
        <x:v>Closer to High</x:v>
      </x:c>
      <x:c r="G38" t="str">
        <x:v>WATCH</x:v>
      </x:c>
      <x:c r="H38" t="str">
        <x:v>WATCH</x:v>
      </x:c>
      <x:c r="I38" t="str">
        <x:v>IN</x:v>
      </x:c>
      <x:c r="J38" t="str">
        <x:v>Baseline</x:v>
      </x:c>
    </x:row>
    <x:row r="39">
      <x:c r="A39" s="2" t="n">
        <x:v>46262</x:v>
      </x:c>
      <x:c r="B39" t="str">
        <x:v>Auto components / engineering</x:v>
      </x:c>
      <x:c r="C39" t="str">
        <x:v>Schaeffler India</x:v>
      </x:c>
      <x:c r="D39" s="20" t="n">
        <x:v>0.009000000000000001</x:v>
      </x:c>
      <x:c r="E39" s="22" t="n">
        <x:v>4058.5</x:v>
      </x:c>
      <x:c r="F39" t="str">
        <x:v>Closer to High</x:v>
      </x:c>
      <x:c r="G39" t="str">
        <x:v>WATCH</x:v>
      </x:c>
      <x:c r="H39" t="str">
        <x:v>WATCH</x:v>
      </x:c>
      <x:c r="I39" t="str">
        <x:v>IN</x:v>
      </x:c>
      <x:c r="J39" t="str">
        <x:v>Baseline</x:v>
      </x:c>
    </x:row>
    <x:row r="40">
      <x:c r="A40" s="2" t="n">
        <x:v>46262</x:v>
      </x:c>
      <x:c r="B40" t="str">
        <x:v>Auto components / engineering</x:v>
      </x:c>
      <x:c r="C40" t="str">
        <x:v>Endurance Technologies</x:v>
      </x:c>
      <x:c r="D40" s="20" t="n">
        <x:v>0.004</x:v>
      </x:c>
      <x:c r="E40" s="22" t="n">
        <x:v>2923.8</x:v>
      </x:c>
      <x:c r="F40" t="str">
        <x:v>Closer to High</x:v>
      </x:c>
      <x:c r="G40" t="str">
        <x:v>PASS/WATCH</x:v>
      </x:c>
      <x:c r="H40" t="str">
        <x:v>WATCH</x:v>
      </x:c>
      <x:c r="I40" t="str">
        <x:v>IN</x:v>
      </x:c>
      <x:c r="J40" t="str">
        <x:v>Baseline</x:v>
      </x:c>
    </x:row>
    <x:row r="41">
      <x:c r="A41" s="2" t="n">
        <x:v>46262</x:v>
      </x:c>
      <x:c r="B41" t="str">
        <x:v>Auto components / engineering</x:v>
      </x:c>
      <x:c r="C41" t="str">
        <x:v>Exide Industries</x:v>
      </x:c>
      <x:c r="D41" s="20" t="n">
        <x:v>0.0044</x:v>
      </x:c>
      <x:c r="E41" s="22" t="n">
        <x:v>454.25</x:v>
      </x:c>
      <x:c r="F41" t="str">
        <x:v>Closer to High</x:v>
      </x:c>
      <x:c r="G41" t="str">
        <x:v>PASS/WATCH</x:v>
      </x:c>
      <x:c r="H41" t="str">
        <x:v>WATCH</x:v>
      </x:c>
      <x:c r="I41" t="str">
        <x:v>IN</x:v>
      </x:c>
      <x:c r="J41" t="str">
        <x:v>Baseline</x:v>
      </x:c>
    </x:row>
    <x:row r="42">
      <x:c r="A42" s="2" t="n">
        <x:v>46262</x:v>
      </x:c>
      <x:c r="B42" t="str">
        <x:v>Cement / building materials</x:v>
      </x:c>
      <x:c r="C42" t="str">
        <x:v>UltraTech Cement</x:v>
      </x:c>
      <x:c r="D42" s="20" t="n">
        <x:v>0.0207</x:v>
      </x:c>
      <x:c r="E42" s="22" t="n">
        <x:v>11570</x:v>
      </x:c>
      <x:c r="F42" t="str">
        <x:v>Closer to Low</x:v>
      </x:c>
      <x:c r="G42" t="str">
        <x:v>PASS</x:v>
      </x:c>
      <x:c r="H42" t="str">
        <x:v>IN</x:v>
      </x:c>
      <x:c r="I42" t="str">
        <x:v>IN</x:v>
      </x:c>
      <x:c r="J42" t="str">
        <x:v>Baseline</x:v>
      </x:c>
    </x:row>
    <x:row r="43">
      <x:c r="A43" s="2" t="n">
        <x:v>46262</x:v>
      </x:c>
      <x:c r="B43" t="str">
        <x:v>Cement / building materials</x:v>
      </x:c>
      <x:c r="C43" t="str">
        <x:v>JK Cement</x:v>
      </x:c>
      <x:c r="D43" s="20" t="n">
        <x:v>0.0039000000000000003</x:v>
      </x:c>
      <x:c r="E43" s="22" t="n">
        <x:v>5167</x:v>
      </x:c>
      <x:c r="F43" t="str">
        <x:v>Closer to Low</x:v>
      </x:c>
      <x:c r="G43" t="str">
        <x:v>PASS</x:v>
      </x:c>
      <x:c r="H43" t="str">
        <x:v>IN</x:v>
      </x:c>
      <x:c r="I43" t="str">
        <x:v>IN</x:v>
      </x:c>
      <x:c r="J43" t="str">
        <x:v>Baseline</x:v>
      </x:c>
    </x:row>
    <x:row r="44">
      <x:c r="A44" s="2" t="n">
        <x:v>46262</x:v>
      </x:c>
      <x:c r="B44" t="str">
        <x:v>Cement / building materials</x:v>
      </x:c>
      <x:c r="C44" t="str">
        <x:v>Ambuja Cements</x:v>
      </x:c>
      <x:c r="D44" s="20" t="n">
        <x:v>0.005</x:v>
      </x:c>
      <x:c r="E44" s="22" t="n">
        <x:v>411.9</x:v>
      </x:c>
      <x:c r="F44" t="str">
        <x:v>Closer to Low</x:v>
      </x:c>
      <x:c r="G44" t="str">
        <x:v>PASS/WATCH</x:v>
      </x:c>
      <x:c r="H44" t="str">
        <x:v>WATCH</x:v>
      </x:c>
      <x:c r="I44" t="str">
        <x:v>IN</x:v>
      </x:c>
      <x:c r="J44" t="str">
        <x:v>Baseline</x:v>
      </x:c>
    </x:row>
    <x:row r="45">
      <x:c r="A45" s="2" t="n">
        <x:v>46262</x:v>
      </x:c>
      <x:c r="B45" t="str">
        <x:v>Cement / building materials</x:v>
      </x:c>
      <x:c r="C45" t="str">
        <x:v>Shree Cement</x:v>
      </x:c>
      <x:c r="D45" s="20" t="n">
        <x:v>0.006</x:v>
      </x:c>
      <x:c r="E45" s="22" t="n">
        <x:v>24025</x:v>
      </x:c>
      <x:c r="F45" t="str">
        <x:v>Closer to Low</x:v>
      </x:c>
      <x:c r="G45" t="str">
        <x:v>WATCH</x:v>
      </x:c>
      <x:c r="H45" t="str">
        <x:v>WATCH</x:v>
      </x:c>
      <x:c r="I45" t="str">
        <x:v>IN</x:v>
      </x:c>
      <x:c r="J45" t="str">
        <x:v>Baseline</x:v>
      </x:c>
    </x:row>
    <x:row r="46">
      <x:c r="A46" s="2" t="n">
        <x:v>46262</x:v>
      </x:c>
      <x:c r="B46" t="str">
        <x:v>Cement / building materials</x:v>
      </x:c>
      <x:c r="C46" t="str">
        <x:v>ACC</x:v>
      </x:c>
      <x:c r="D46" s="20" t="n">
        <x:v>0.006</x:v>
      </x:c>
      <x:c r="E46" s="22" t="n">
        <x:v>1304</x:v>
      </x:c>
      <x:c r="F46" t="str">
        <x:v>Closer to Low</x:v>
      </x:c>
      <x:c r="G46" t="str">
        <x:v>PASS/WATCH</x:v>
      </x:c>
      <x:c r="H46" t="str">
        <x:v>WATCH</x:v>
      </x:c>
      <x:c r="I46" t="str">
        <x:v>IN</x:v>
      </x:c>
      <x:c r="J46" t="str">
        <x:v>Baseline</x:v>
      </x:c>
    </x:row>
    <x:row r="47">
      <x:c r="A47" s="2" t="n">
        <x:v>46262</x:v>
      </x:c>
      <x:c r="B47" t="str">
        <x:v>Consumer / premiumisation</x:v>
      </x:c>
      <x:c r="C47" t="str">
        <x:v>Titan Company</x:v>
      </x:c>
      <x:c r="D47" s="20" t="n">
        <x:v>0.0029</x:v>
      </x:c>
      <x:c r="E47" s="22" t="n">
        <x:v>5158.2</x:v>
      </x:c>
      <x:c r="F47" t="str">
        <x:v>Closer to High</x:v>
      </x:c>
      <x:c r="G47" t="str">
        <x:v>WATCH</x:v>
      </x:c>
      <x:c r="H47" t="str">
        <x:v>WATCH</x:v>
      </x:c>
      <x:c r="I47" t="str">
        <x:v>IN</x:v>
      </x:c>
      <x:c r="J47" t="str">
        <x:v>Baseline</x:v>
      </x:c>
    </x:row>
    <x:row r="48">
      <x:c r="A48" s="2" t="n">
        <x:v>46262</x:v>
      </x:c>
      <x:c r="B48" t="str">
        <x:v>Consumer / premiumisation</x:v>
      </x:c>
      <x:c r="C48" t="str">
        <x:v>Asian Paints</x:v>
      </x:c>
      <x:c r="D48" s="20" t="n">
        <x:v>0.0106</x:v>
      </x:c>
      <x:c r="E48" s="22" t="n">
        <x:v>2592.6</x:v>
      </x:c>
      <x:c r="F48" t="str">
        <x:v>Closer to High</x:v>
      </x:c>
      <x:c r="G48" t="str">
        <x:v>PASS/WATCH</x:v>
      </x:c>
      <x:c r="H48" t="str">
        <x:v>WATCH</x:v>
      </x:c>
      <x:c r="I48" t="str">
        <x:v>IN</x:v>
      </x:c>
      <x:c r="J48" t="str">
        <x:v>Baseline</x:v>
      </x:c>
    </x:row>
    <x:row r="49">
      <x:c r="A49" s="2" t="n">
        <x:v>46262</x:v>
      </x:c>
      <x:c r="B49" t="str">
        <x:v>Consumer / premiumisation</x:v>
      </x:c>
      <x:c r="C49" t="str">
        <x:v>Britannia Industries</x:v>
      </x:c>
      <x:c r="D49" s="20" t="n">
        <x:v>0.017</x:v>
      </x:c>
      <x:c r="E49" s="22" t="n">
        <x:v>5295</x:v>
      </x:c>
      <x:c r="F49" t="str">
        <x:v>Closer to Low</x:v>
      </x:c>
      <x:c r="G49" t="str">
        <x:v>PASS</x:v>
      </x:c>
      <x:c r="H49" t="str">
        <x:v>IN</x:v>
      </x:c>
      <x:c r="I49" t="str">
        <x:v>IN</x:v>
      </x:c>
      <x:c r="J49" t="str">
        <x:v>Baseline</x:v>
      </x:c>
    </x:row>
    <x:row r="50">
      <x:c r="A50" s="2" t="n">
        <x:v>46262</x:v>
      </x:c>
      <x:c r="B50" t="str">
        <x:v>Consumer / premiumisation</x:v>
      </x:c>
      <x:c r="C50" t="str">
        <x:v>Marico</x:v>
      </x:c>
      <x:c r="D50" s="20" t="n">
        <x:v>0.0125</x:v>
      </x:c>
      <x:c r="E50" s="22" t="n">
        <x:v>837.35</x:v>
      </x:c>
      <x:c r="F50" t="str">
        <x:v>Closer to High</x:v>
      </x:c>
      <x:c r="G50" t="str">
        <x:v>PASS</x:v>
      </x:c>
      <x:c r="H50" t="str">
        <x:v>IN</x:v>
      </x:c>
      <x:c r="I50" t="str">
        <x:v>IN</x:v>
      </x:c>
      <x:c r="J50" t="str">
        <x:v>Baseline</x:v>
      </x:c>
    </x:row>
    <x:row r="51">
      <x:c r="A51" s="2" t="n">
        <x:v>46262</x:v>
      </x:c>
      <x:c r="B51" t="str">
        <x:v>Consumer / premiumisation</x:v>
      </x:c>
      <x:c r="C51" t="str">
        <x:v>Dabur India</x:v>
      </x:c>
      <x:c r="D51" s="20" t="n">
        <x:v>0.021400000000000002</x:v>
      </x:c>
      <x:c r="E51" s="22" t="n">
        <x:v>386</x:v>
      </x:c>
      <x:c r="F51" t="str">
        <x:v>Closer to Low</x:v>
      </x:c>
      <x:c r="G51" t="str">
        <x:v>PASS/WATCH</x:v>
      </x:c>
      <x:c r="H51" t="str">
        <x:v>WATCH</x:v>
      </x:c>
      <x:c r="I51" t="str">
        <x:v>IN</x:v>
      </x:c>
      <x:c r="J51" t="str">
        <x:v>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b36406176f1e4d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0" hidden="0" customWidth="1"/>
    <x:col min="5" max="5" width="24" hidden="0" customWidth="1"/>
    <x:col min="6" max="6" width="24" hidden="0" customWidth="1"/>
    <x:col min="7" max="7" width="50" hidden="0" customWidth="1"/>
    <x:col min="8" max="8" width="45" hidden="0" customWidth="1"/>
  </x:cols>
  <x:sheetData>
    <x:row r="1">
      <x:c r="A1" s="18" t="str">
        <x:v>Review date</x:v>
      </x:c>
      <x:c r="B1" s="18" t="str">
        <x:v>Change type</x:v>
      </x:c>
      <x:c r="C1" s="18" t="str">
        <x:v>Industry</x:v>
      </x:c>
      <x:c r="D1" s="18" t="str">
        <x:v>Stock</x:v>
      </x:c>
      <x:c r="E1" s="18" t="str">
        <x:v>Previous</x:v>
      </x:c>
      <x:c r="F1" s="18" t="str">
        <x:v>Current</x:v>
      </x:c>
      <x:c r="G1" s="18" t="str">
        <x:v>Reason / evidence</x:v>
      </x:c>
      <x:c r="H1" s="18" t="str">
        <x:v>Source</x:v>
      </x:c>
    </x:row>
    <x:row r="2">
      <x:c r="A2" s="2" t="n">
        <x:v>46262</x:v>
      </x:c>
      <x:c r="B2" t="str">
        <x:v>BASELINE</x:v>
      </x:c>
      <x:c r="C2" t="str"/>
      <x:c r="D2" t="str"/>
      <x:c r="E2" t="str">
        <x:v>—</x:v>
      </x:c>
      <x:c r="F2" t="str">
        <x:v>Initial 50-stock screen</x:v>
      </x:c>
      <x:c r="G2" t="str">
        <x:v>Starting snapshot</x:v>
      </x:c>
      <x:c r="H2" t="str">
        <x:v>Current Screen / source URLs</x:v>
      </x:c>
    </x:row>
    <x:row r="3">
      <x:c r="A3" s="2"/>
    </x:row>
    <x:row r="4">
      <x:c r="A4" s="2"/>
    </x:row>
    <x:row r="5">
      <x:c r="A5" s="2"/>
    </x:row>
    <x:row r="6">
      <x:c r="A6" s="2"/>
    </x:row>
    <x:row r="7">
      <x:c r="A7" s="2"/>
    </x:row>
    <x:row r="8">
      <x:c r="A8" s="2"/>
    </x:row>
    <x:row r="9">
      <x:c r="A9" s="2"/>
    </x:row>
    <x:row r="10">
      <x:c r="A10" s="2"/>
    </x:row>
    <x:row r="11">
      <x:c r="A11" s="2"/>
    </x:row>
    <x:row r="12">
      <x:c r="A12" s="2"/>
    </x:row>
    <x:row r="13">
      <x:c r="A13" s="2"/>
    </x:row>
    <x:row r="14">
      <x:c r="A14" s="2"/>
    </x:row>
    <x:row r="15">
      <x:c r="A15" s="2"/>
    </x:row>
    <x:row r="16">
      <x:c r="A16" s="2"/>
    </x:row>
    <x:row r="17">
      <x:c r="A17" s="2"/>
    </x:row>
    <x:row r="18">
      <x:c r="A18" s="2"/>
    </x:row>
    <x:row r="19">
      <x:c r="A19" s="2"/>
    </x:row>
    <x:row r="20">
      <x:c r="A20" s="2"/>
    </x:row>
    <x:row r="21">
      <x:c r="A21" s="2"/>
    </x:row>
    <x:row r="22">
      <x:c r="A22" s="2"/>
    </x:row>
    <x:row r="23">
      <x:c r="A23" s="2"/>
    </x:row>
    <x:row r="24">
      <x:c r="A24" s="2"/>
    </x:row>
    <x:row r="25">
      <x:c r="A25" s="2"/>
    </x:row>
    <x:row r="26">
      <x:c r="A26" s="2"/>
    </x:row>
    <x:row r="27">
      <x:c r="A27" s="2"/>
    </x:row>
    <x:row r="28">
      <x:c r="A28" s="2"/>
    </x:row>
    <x:row r="29">
      <x:c r="A29" s="2"/>
    </x:row>
    <x:row r="30">
      <x:c r="A30" s="2"/>
    </x:row>
    <x:row r="31">
      <x:c r="A31" s="2"/>
    </x:row>
    <x:row r="32">
      <x:c r="A32" s="2"/>
    </x:row>
    <x:row r="33">
      <x:c r="A33" s="2"/>
    </x:row>
    <x:row r="34">
      <x:c r="A34" s="2"/>
    </x:row>
    <x:row r="35">
      <x:c r="A35" s="2"/>
    </x:row>
    <x:row r="36">
      <x:c r="A36" s="2"/>
    </x:row>
    <x:row r="37">
      <x:c r="A37" s="2"/>
    </x:row>
    <x:row r="38">
      <x:c r="A38" s="2"/>
    </x:row>
    <x:row r="39">
      <x:c r="A39" s="2"/>
    </x:row>
    <x:row r="40">
      <x:c r="A40" s="2"/>
    </x:row>
    <x:row r="41">
      <x:c r="A41" s="2"/>
    </x:row>
    <x:row r="42">
      <x:c r="A42" s="2"/>
    </x:row>
    <x:row r="43">
      <x:c r="A43" s="2"/>
    </x:row>
    <x:row r="44">
      <x:c r="A44" s="2"/>
    </x:row>
    <x:row r="45">
      <x:c r="A45" s="2"/>
    </x:row>
    <x:row r="46">
      <x:c r="A46" s="2"/>
    </x:row>
    <x:row r="47">
      <x:c r="A47" s="2"/>
    </x:row>
    <x:row r="48">
      <x:c r="A48" s="2"/>
    </x:row>
    <x:row r="49">
      <x:c r="A49" s="2"/>
    </x:row>
    <x:row r="50">
      <x:c r="A50" s="2"/>
    </x:row>
    <x:row r="51">
      <x:c r="A51" s="2"/>
    </x:row>
    <x:row r="52">
      <x:c r="A52" s="2"/>
    </x:row>
    <x:row r="53">
      <x:c r="A53" s="2"/>
    </x:row>
    <x:row r="54">
      <x:c r="A54" s="2"/>
    </x:row>
    <x:row r="55">
      <x:c r="A55" s="2"/>
    </x:row>
    <x:row r="56">
      <x:c r="A56" s="2"/>
    </x:row>
    <x:row r="57">
      <x:c r="A57" s="2"/>
    </x:row>
    <x:row r="58">
      <x:c r="A58" s="2"/>
    </x:row>
    <x:row r="59">
      <x:c r="A59" s="2"/>
    </x:row>
    <x:row r="60">
      <x:c r="A60" s="2"/>
    </x:row>
    <x:row r="61">
      <x:c r="A61" s="2"/>
    </x:row>
    <x:row r="62">
      <x:c r="A62" s="2"/>
    </x:row>
    <x:row r="63">
      <x:c r="A63" s="2"/>
    </x:row>
    <x:row r="64">
      <x:c r="A64" s="2"/>
    </x:row>
    <x:row r="65">
      <x:c r="A65" s="2"/>
    </x:row>
    <x:row r="66">
      <x:c r="A66" s="2"/>
    </x:row>
    <x:row r="67">
      <x:c r="A67" s="2"/>
    </x:row>
    <x:row r="68">
      <x:c r="A68" s="2"/>
    </x:row>
    <x:row r="69">
      <x:c r="A69" s="2"/>
    </x:row>
    <x:row r="70">
      <x:c r="A70" s="2"/>
    </x:row>
    <x:row r="71">
      <x:c r="A71" s="2"/>
    </x:row>
    <x:row r="72">
      <x:c r="A72" s="2"/>
    </x:row>
    <x:row r="73">
      <x:c r="A73" s="2"/>
    </x:row>
    <x:row r="74">
      <x:c r="A74" s="2"/>
    </x:row>
    <x:row r="75">
      <x:c r="A75" s="2"/>
    </x:row>
    <x:row r="76">
      <x:c r="A76" s="2"/>
    </x:row>
    <x:row r="77">
      <x:c r="A77" s="2"/>
    </x:row>
    <x:row r="78">
      <x:c r="A78" s="2"/>
    </x:row>
    <x:row r="79">
      <x:c r="A79" s="2"/>
    </x:row>
    <x:row r="80">
      <x:c r="A80" s="2"/>
    </x:row>
    <x:row r="81">
      <x:c r="A81" s="2"/>
    </x:row>
    <x:row r="82">
      <x:c r="A82" s="2"/>
    </x:row>
    <x:row r="83">
      <x:c r="A83" s="2"/>
    </x:row>
    <x:row r="84">
      <x:c r="A84" s="2"/>
    </x:row>
    <x:row r="85">
      <x:c r="A85" s="2"/>
    </x:row>
    <x:row r="86">
      <x:c r="A86" s="2"/>
    </x:row>
    <x:row r="87">
      <x:c r="A87" s="2"/>
    </x:row>
    <x:row r="88">
      <x:c r="A88" s="2"/>
    </x:row>
    <x:row r="89">
      <x:c r="A89" s="2"/>
    </x:row>
    <x:row r="90">
      <x:c r="A90" s="2"/>
    </x:row>
    <x:row r="91">
      <x:c r="A91" s="2"/>
    </x:row>
    <x:row r="92">
      <x:c r="A92" s="2"/>
    </x:row>
    <x:row r="93">
      <x:c r="A93" s="2"/>
    </x:row>
    <x:row r="94">
      <x:c r="A94" s="2"/>
    </x:row>
    <x:row r="95">
      <x:c r="A95" s="2"/>
    </x:row>
    <x:row r="96">
      <x:c r="A96" s="2"/>
    </x:row>
    <x:row r="97">
      <x:c r="A97" s="2"/>
    </x:row>
    <x:row r="98">
      <x:c r="A98" s="2"/>
    </x:row>
    <x:row r="99">
      <x:c r="A99" s="2"/>
    </x:row>
    <x:row r="100">
      <x:c r="A100" s="2"/>
    </x:row>
    <x:row r="101">
      <x:c r="A101" s="2"/>
    </x:row>
    <x:row r="102">
      <x:c r="A102" s="2"/>
    </x:row>
    <x:row r="103">
      <x:c r="A103" s="2"/>
    </x:row>
    <x:row r="104">
      <x:c r="A104" s="2"/>
    </x:row>
    <x:row r="105">
      <x:c r="A105" s="2"/>
    </x:row>
    <x:row r="106">
      <x:c r="A106" s="2"/>
    </x:row>
    <x:row r="107">
      <x:c r="A107" s="2"/>
    </x:row>
    <x:row r="108">
      <x:c r="A108" s="2"/>
    </x:row>
    <x:row r="109">
      <x:c r="A109" s="2"/>
    </x:row>
    <x:row r="110">
      <x:c r="A110" s="2"/>
    </x:row>
    <x:row r="111">
      <x:c r="A111" s="2"/>
    </x:row>
    <x:row r="112">
      <x:c r="A112" s="2"/>
    </x:row>
    <x:row r="113">
      <x:c r="A113" s="2"/>
    </x:row>
    <x:row r="114">
      <x:c r="A114" s="2"/>
    </x:row>
    <x:row r="115">
      <x:c r="A115" s="2"/>
    </x:row>
    <x:row r="116">
      <x:c r="A116" s="2"/>
    </x:row>
    <x:row r="117">
      <x:c r="A117" s="2"/>
    </x:row>
    <x:row r="118">
      <x:c r="A118" s="2"/>
    </x:row>
    <x:row r="119">
      <x:c r="A119" s="2"/>
    </x:row>
    <x:row r="120">
      <x:c r="A120" s="2"/>
    </x:row>
    <x:row r="121">
      <x:c r="A121" s="2"/>
    </x:row>
    <x:row r="122">
      <x:c r="A122" s="2"/>
    </x:row>
    <x:row r="123">
      <x:c r="A123" s="2"/>
    </x:row>
    <x:row r="124">
      <x:c r="A124" s="2"/>
    </x:row>
    <x:row r="125">
      <x:c r="A125" s="2"/>
    </x:row>
    <x:row r="126">
      <x:c r="A126" s="2"/>
    </x:row>
    <x:row r="127">
      <x:c r="A127" s="2"/>
    </x:row>
    <x:row r="128">
      <x:c r="A128" s="2"/>
    </x:row>
    <x:row r="129">
      <x:c r="A129" s="2"/>
    </x:row>
    <x:row r="130">
      <x:c r="A130" s="2"/>
    </x:row>
    <x:row r="131">
      <x:c r="A131" s="2"/>
    </x:row>
    <x:row r="132">
      <x:c r="A132" s="2"/>
    </x:row>
    <x:row r="133">
      <x:c r="A133" s="2"/>
    </x:row>
    <x:row r="134">
      <x:c r="A134" s="2"/>
    </x:row>
    <x:row r="135">
      <x:c r="A135" s="2"/>
    </x:row>
    <x:row r="136">
      <x:c r="A136" s="2"/>
    </x:row>
    <x:row r="137">
      <x:c r="A137" s="2"/>
    </x:row>
    <x:row r="138">
      <x:c r="A138" s="2"/>
    </x:row>
    <x:row r="139">
      <x:c r="A139" s="2"/>
    </x:row>
    <x:row r="140">
      <x:c r="A140" s="2"/>
    </x:row>
    <x:row r="141">
      <x:c r="A141" s="2"/>
    </x:row>
    <x:row r="142">
      <x:c r="A142" s="2"/>
    </x:row>
    <x:row r="143">
      <x:c r="A143" s="2"/>
    </x:row>
    <x:row r="144">
      <x:c r="A144" s="2"/>
    </x:row>
    <x:row r="145">
      <x:c r="A145" s="2"/>
    </x:row>
    <x:row r="146">
      <x:c r="A146" s="2"/>
    </x:row>
    <x:row r="147">
      <x:c r="A147" s="2"/>
    </x:row>
    <x:row r="148">
      <x:c r="A148" s="2"/>
    </x:row>
    <x:row r="149">
      <x:c r="A149" s="2"/>
    </x:row>
    <x:row r="150">
      <x:c r="A150" s="2"/>
    </x:row>
    <x:row r="151">
      <x:c r="A151" s="2"/>
    </x:row>
    <x:row r="152">
      <x:c r="A152" s="2"/>
    </x:row>
    <x:row r="153">
      <x:c r="A153" s="2"/>
    </x:row>
    <x:row r="154">
      <x:c r="A154" s="2"/>
    </x:row>
    <x:row r="155">
      <x:c r="A155" s="2"/>
    </x:row>
    <x:row r="156">
      <x:c r="A156" s="2"/>
    </x:row>
    <x:row r="157">
      <x:c r="A157" s="2"/>
    </x:row>
    <x:row r="158">
      <x:c r="A158" s="2"/>
    </x:row>
    <x:row r="159">
      <x:c r="A159" s="2"/>
    </x:row>
    <x:row r="160">
      <x:c r="A160" s="2"/>
    </x:row>
    <x:row r="161">
      <x:c r="A161" s="2"/>
    </x:row>
    <x:row r="162">
      <x:c r="A162" s="2"/>
    </x:row>
    <x:row r="163">
      <x:c r="A163" s="2"/>
    </x:row>
    <x:row r="164">
      <x:c r="A164" s="2"/>
    </x:row>
    <x:row r="165">
      <x:c r="A165" s="2"/>
    </x:row>
    <x:row r="166">
      <x:c r="A166" s="2"/>
    </x:row>
    <x:row r="167">
      <x:c r="A167" s="2"/>
    </x:row>
    <x:row r="168">
      <x:c r="A168" s="2"/>
    </x:row>
    <x:row r="169">
      <x:c r="A169" s="2"/>
    </x:row>
    <x:row r="170">
      <x:c r="A170" s="2"/>
    </x:row>
    <x:row r="171">
      <x:c r="A171" s="2"/>
    </x:row>
    <x:row r="172">
      <x:c r="A172" s="2"/>
    </x:row>
    <x:row r="173">
      <x:c r="A173" s="2"/>
    </x:row>
    <x:row r="174">
      <x:c r="A174" s="2"/>
    </x:row>
    <x:row r="175">
      <x:c r="A175" s="2"/>
    </x:row>
    <x:row r="176">
      <x:c r="A176" s="2"/>
    </x:row>
    <x:row r="177">
      <x:c r="A177" s="2"/>
    </x:row>
    <x:row r="178">
      <x:c r="A178" s="2"/>
    </x:row>
    <x:row r="179">
      <x:c r="A179" s="2"/>
    </x:row>
    <x:row r="180">
      <x:c r="A180" s="2"/>
    </x:row>
    <x:row r="181">
      <x:c r="A181" s="2"/>
    </x:row>
    <x:row r="182">
      <x:c r="A182" s="2"/>
    </x:row>
    <x:row r="183">
      <x:c r="A183" s="2"/>
    </x:row>
    <x:row r="184">
      <x:c r="A184" s="2"/>
    </x:row>
    <x:row r="185">
      <x:c r="A185" s="2"/>
    </x:row>
    <x:row r="186">
      <x:c r="A186" s="2"/>
    </x:row>
    <x:row r="187">
      <x:c r="A187" s="2"/>
    </x:row>
    <x:row r="188">
      <x:c r="A188" s="2"/>
    </x:row>
    <x:row r="189">
      <x:c r="A189" s="2"/>
    </x:row>
    <x:row r="190">
      <x:c r="A190" s="2"/>
    </x:row>
    <x:row r="191">
      <x:c r="A191" s="2"/>
    </x:row>
    <x:row r="192">
      <x:c r="A192" s="2"/>
    </x:row>
    <x:row r="193">
      <x:c r="A193" s="2"/>
    </x:row>
    <x:row r="194">
      <x:c r="A194" s="2"/>
    </x:row>
    <x:row r="195">
      <x:c r="A195" s="2"/>
    </x:row>
    <x:row r="196">
      <x:c r="A196" s="2"/>
    </x:row>
    <x:row r="197">
      <x:c r="A197" s="2"/>
    </x:row>
    <x:row r="198">
      <x:c r="A198" s="2"/>
    </x:row>
    <x:row r="199">
      <x:c r="A199" s="2"/>
    </x:row>
    <x:row r="200">
      <x:c r="A200" s="2"/>
    </x:row>
    <x:row r="201">
      <x:c r="A201" s="2"/>
    </x:row>
    <x:row r="202">
      <x:c r="A202" s="2"/>
    </x:row>
    <x:row r="203">
      <x:c r="A203" s="2"/>
    </x:row>
    <x:row r="204">
      <x:c r="A204" s="2"/>
    </x:row>
    <x:row r="205">
      <x:c r="A205" s="2"/>
    </x:row>
    <x:row r="206">
      <x:c r="A206" s="2"/>
    </x:row>
    <x:row r="207">
      <x:c r="A207" s="2"/>
    </x:row>
    <x:row r="208">
      <x:c r="A208" s="2"/>
    </x:row>
    <x:row r="209">
      <x:c r="A209" s="2"/>
    </x:row>
    <x:row r="210">
      <x:c r="A210" s="2"/>
    </x:row>
    <x:row r="211">
      <x:c r="A211" s="2"/>
    </x:row>
    <x:row r="212">
      <x:c r="A212" s="2"/>
    </x:row>
    <x:row r="213">
      <x:c r="A213" s="2"/>
    </x:row>
    <x:row r="214">
      <x:c r="A214" s="2"/>
    </x:row>
    <x:row r="215">
      <x:c r="A215" s="2"/>
    </x:row>
    <x:row r="216">
      <x:c r="A216" s="2"/>
    </x:row>
    <x:row r="217">
      <x:c r="A217" s="2"/>
    </x:row>
    <x:row r="218">
      <x:c r="A218" s="2"/>
    </x:row>
    <x:row r="219">
      <x:c r="A219" s="2"/>
    </x:row>
    <x:row r="220">
      <x:c r="A220" s="2"/>
    </x:row>
    <x:row r="221">
      <x:c r="A221" s="2"/>
    </x:row>
    <x:row r="222">
      <x:c r="A222" s="2"/>
    </x:row>
    <x:row r="223">
      <x:c r="A223" s="2"/>
    </x:row>
    <x:row r="224">
      <x:c r="A224" s="2"/>
    </x:row>
    <x:row r="225">
      <x:c r="A225" s="2"/>
    </x:row>
    <x:row r="226">
      <x:c r="A226" s="2"/>
    </x:row>
    <x:row r="227">
      <x:c r="A227" s="2"/>
    </x:row>
    <x:row r="228">
      <x:c r="A228" s="2"/>
    </x:row>
    <x:row r="229">
      <x:c r="A229" s="2"/>
    </x:row>
    <x:row r="230">
      <x:c r="A230" s="2"/>
    </x:row>
    <x:row r="231">
      <x:c r="A231" s="2"/>
    </x:row>
    <x:row r="232">
      <x:c r="A232" s="2"/>
    </x:row>
    <x:row r="233">
      <x:c r="A233" s="2"/>
    </x:row>
    <x:row r="234">
      <x:c r="A234" s="2"/>
    </x:row>
    <x:row r="235">
      <x:c r="A235" s="2"/>
    </x:row>
    <x:row r="236">
      <x:c r="A236" s="2"/>
    </x:row>
    <x:row r="237">
      <x:c r="A237" s="2"/>
    </x:row>
    <x:row r="238">
      <x:c r="A238" s="2"/>
    </x:row>
    <x:row r="239">
      <x:c r="A239" s="2"/>
    </x:row>
    <x:row r="240">
      <x:c r="A240" s="2"/>
    </x:row>
    <x:row r="241">
      <x:c r="A241" s="2"/>
    </x:row>
    <x:row r="242">
      <x:c r="A242" s="2"/>
    </x:row>
    <x:row r="243">
      <x:c r="A243" s="2"/>
    </x:row>
    <x:row r="244">
      <x:c r="A244" s="2"/>
    </x:row>
    <x:row r="245">
      <x:c r="A245" s="2"/>
    </x:row>
    <x:row r="246">
      <x:c r="A246" s="2"/>
    </x:row>
    <x:row r="247">
      <x:c r="A247" s="2"/>
    </x:row>
    <x:row r="248">
      <x:c r="A248" s="2"/>
    </x:row>
    <x:row r="249">
      <x:c r="A249" s="2"/>
    </x:row>
    <x:row r="250">
      <x:c r="A250" s="2"/>
    </x:row>
    <x:row r="251">
      <x:c r="A251" s="2"/>
    </x:row>
    <x:row r="252">
      <x:c r="A252" s="2"/>
    </x:row>
    <x:row r="253">
      <x:c r="A253" s="2"/>
    </x:row>
    <x:row r="254">
      <x:c r="A254" s="2"/>
    </x:row>
    <x:row r="255">
      <x:c r="A255" s="2"/>
    </x:row>
    <x:row r="256">
      <x:c r="A256" s="2"/>
    </x:row>
    <x:row r="257">
      <x:c r="A257" s="2"/>
    </x:row>
    <x:row r="258">
      <x:c r="A258" s="2"/>
    </x:row>
    <x:row r="259">
      <x:c r="A259" s="2"/>
    </x:row>
    <x:row r="260">
      <x:c r="A260" s="2"/>
    </x:row>
    <x:row r="261">
      <x:c r="A261" s="2"/>
    </x:row>
    <x:row r="262">
      <x:c r="A262" s="2"/>
    </x:row>
    <x:row r="263">
      <x:c r="A263" s="2"/>
    </x:row>
    <x:row r="264">
      <x:c r="A264" s="2"/>
    </x:row>
    <x:row r="265">
      <x:c r="A265" s="2"/>
    </x:row>
    <x:row r="266">
      <x:c r="A266" s="2"/>
    </x:row>
    <x:row r="267">
      <x:c r="A267" s="2"/>
    </x:row>
    <x:row r="268">
      <x:c r="A268" s="2"/>
    </x:row>
    <x:row r="269">
      <x:c r="A269" s="2"/>
    </x:row>
    <x:row r="270">
      <x:c r="A270" s="2"/>
    </x:row>
    <x:row r="271">
      <x:c r="A271" s="2"/>
    </x:row>
    <x:row r="272">
      <x:c r="A272" s="2"/>
    </x:row>
    <x:row r="273">
      <x:c r="A273" s="2"/>
    </x:row>
    <x:row r="274">
      <x:c r="A274" s="2"/>
    </x:row>
    <x:row r="275">
      <x:c r="A275" s="2"/>
    </x:row>
    <x:row r="276">
      <x:c r="A276" s="2"/>
    </x:row>
    <x:row r="277">
      <x:c r="A277" s="2"/>
    </x:row>
    <x:row r="278">
      <x:c r="A278" s="2"/>
    </x:row>
    <x:row r="279">
      <x:c r="A279" s="2"/>
    </x:row>
    <x:row r="280">
      <x:c r="A280" s="2"/>
    </x:row>
    <x:row r="281">
      <x:c r="A281" s="2"/>
    </x:row>
    <x:row r="282">
      <x:c r="A282" s="2"/>
    </x:row>
    <x:row r="283">
      <x:c r="A283" s="2"/>
    </x:row>
    <x:row r="284">
      <x:c r="A284" s="2"/>
    </x:row>
    <x:row r="285">
      <x:c r="A285" s="2"/>
    </x:row>
    <x:row r="286">
      <x:c r="A286" s="2"/>
    </x:row>
    <x:row r="287">
      <x:c r="A287" s="2"/>
    </x:row>
    <x:row r="288">
      <x:c r="A288" s="2"/>
    </x:row>
    <x:row r="289">
      <x:c r="A289" s="2"/>
    </x:row>
    <x:row r="290">
      <x:c r="A290" s="2"/>
    </x:row>
    <x:row r="291">
      <x:c r="A291" s="2"/>
    </x:row>
    <x:row r="292">
      <x:c r="A292" s="2"/>
    </x:row>
    <x:row r="293">
      <x:c r="A293" s="2"/>
    </x:row>
    <x:row r="294">
      <x:c r="A294" s="2"/>
    </x:row>
    <x:row r="295">
      <x:c r="A295" s="2"/>
    </x:row>
    <x:row r="296">
      <x:c r="A296" s="2"/>
    </x:row>
    <x:row r="297">
      <x:c r="A297" s="2"/>
    </x:row>
    <x:row r="298">
      <x:c r="A298" s="2"/>
    </x:row>
    <x:row r="299">
      <x:c r="A299" s="2"/>
    </x:row>
    <x:row r="300">
      <x:c r="A300" s="2"/>
    </x:row>
    <x:row r="301">
      <x:c r="A301" s="2"/>
    </x:row>
    <x:row r="302">
      <x:c r="A302" s="2"/>
    </x:row>
    <x:row r="303">
      <x:c r="A303" s="2"/>
    </x:row>
    <x:row r="304">
      <x:c r="A304" s="2"/>
    </x:row>
    <x:row r="305">
      <x:c r="A305" s="2"/>
    </x:row>
    <x:row r="306">
      <x:c r="A306" s="2"/>
    </x:row>
    <x:row r="307">
      <x:c r="A307" s="2"/>
    </x:row>
    <x:row r="308">
      <x:c r="A308" s="2"/>
    </x:row>
    <x:row r="309">
      <x:c r="A309" s="2"/>
    </x:row>
    <x:row r="310">
      <x:c r="A310" s="2"/>
    </x:row>
    <x:row r="311">
      <x:c r="A311" s="2"/>
    </x:row>
    <x:row r="312">
      <x:c r="A312" s="2"/>
    </x:row>
    <x:row r="313">
      <x:c r="A313" s="2"/>
    </x:row>
    <x:row r="314">
      <x:c r="A314" s="2"/>
    </x:row>
    <x:row r="315">
      <x:c r="A315" s="2"/>
    </x:row>
    <x:row r="316">
      <x:c r="A316" s="2"/>
    </x:row>
    <x:row r="317">
      <x:c r="A317" s="2"/>
    </x:row>
    <x:row r="318">
      <x:c r="A318" s="2"/>
    </x:row>
    <x:row r="319">
      <x:c r="A319" s="2"/>
    </x:row>
    <x:row r="320">
      <x:c r="A320" s="2"/>
    </x:row>
    <x:row r="321">
      <x:c r="A321" s="2"/>
    </x:row>
    <x:row r="322">
      <x:c r="A322" s="2"/>
    </x:row>
    <x:row r="323">
      <x:c r="A323" s="2"/>
    </x:row>
    <x:row r="324">
      <x:c r="A324" s="2"/>
    </x:row>
    <x:row r="325">
      <x:c r="A325" s="2"/>
    </x:row>
    <x:row r="326">
      <x:c r="A326" s="2"/>
    </x:row>
    <x:row r="327">
      <x:c r="A327" s="2"/>
    </x:row>
    <x:row r="328">
      <x:c r="A328" s="2"/>
    </x:row>
    <x:row r="329">
      <x:c r="A329" s="2"/>
    </x:row>
    <x:row r="330">
      <x:c r="A330" s="2"/>
    </x:row>
    <x:row r="331">
      <x:c r="A331" s="2"/>
    </x:row>
    <x:row r="332">
      <x:c r="A332" s="2"/>
    </x:row>
    <x:row r="333">
      <x:c r="A333" s="2"/>
    </x:row>
    <x:row r="334">
      <x:c r="A334" s="2"/>
    </x:row>
    <x:row r="335">
      <x:c r="A335" s="2"/>
    </x:row>
    <x:row r="336">
      <x:c r="A336" s="2"/>
    </x:row>
    <x:row r="337">
      <x:c r="A337" s="2"/>
    </x:row>
    <x:row r="338">
      <x:c r="A338" s="2"/>
    </x:row>
    <x:row r="339">
      <x:c r="A339" s="2"/>
    </x:row>
    <x:row r="340">
      <x:c r="A340" s="2"/>
    </x:row>
    <x:row r="341">
      <x:c r="A341" s="2"/>
    </x:row>
    <x:row r="342">
      <x:c r="A342" s="2"/>
    </x:row>
    <x:row r="343">
      <x:c r="A343" s="2"/>
    </x:row>
    <x:row r="344">
      <x:c r="A344" s="2"/>
    </x:row>
    <x:row r="345">
      <x:c r="A345" s="2"/>
    </x:row>
    <x:row r="346">
      <x:c r="A346" s="2"/>
    </x:row>
    <x:row r="347">
      <x:c r="A347" s="2"/>
    </x:row>
    <x:row r="348">
      <x:c r="A348" s="2"/>
    </x:row>
    <x:row r="349">
      <x:c r="A349" s="2"/>
    </x:row>
    <x:row r="350">
      <x:c r="A350" s="2"/>
    </x:row>
    <x:row r="351">
      <x:c r="A351" s="2"/>
    </x:row>
    <x:row r="352">
      <x:c r="A352" s="2"/>
    </x:row>
    <x:row r="353">
      <x:c r="A353" s="2"/>
    </x:row>
    <x:row r="354">
      <x:c r="A354" s="2"/>
    </x:row>
    <x:row r="355">
      <x:c r="A355" s="2"/>
    </x:row>
    <x:row r="356">
      <x:c r="A356" s="2"/>
    </x:row>
    <x:row r="357">
      <x:c r="A357" s="2"/>
    </x:row>
    <x:row r="358">
      <x:c r="A358" s="2"/>
    </x:row>
    <x:row r="359">
      <x:c r="A359" s="2"/>
    </x:row>
    <x:row r="360">
      <x:c r="A360" s="2"/>
    </x:row>
    <x:row r="361">
      <x:c r="A361" s="2"/>
    </x:row>
    <x:row r="362">
      <x:c r="A362" s="2"/>
    </x:row>
    <x:row r="363">
      <x:c r="A363" s="2"/>
    </x:row>
    <x:row r="364">
      <x:c r="A364" s="2"/>
    </x:row>
    <x:row r="365">
      <x:c r="A365" s="2"/>
    </x:row>
    <x:row r="366">
      <x:c r="A366" s="2"/>
    </x:row>
    <x:row r="367">
      <x:c r="A367" s="2"/>
    </x:row>
    <x:row r="368">
      <x:c r="A368" s="2"/>
    </x:row>
    <x:row r="369">
      <x:c r="A369" s="2"/>
    </x:row>
    <x:row r="370">
      <x:c r="A370" s="2"/>
    </x:row>
    <x:row r="371">
      <x:c r="A371" s="2"/>
    </x:row>
    <x:row r="372">
      <x:c r="A372" s="2"/>
    </x:row>
    <x:row r="373">
      <x:c r="A373" s="2"/>
    </x:row>
    <x:row r="374">
      <x:c r="A374" s="2"/>
    </x:row>
    <x:row r="375">
      <x:c r="A375" s="2"/>
    </x:row>
    <x:row r="376">
      <x:c r="A376" s="2"/>
    </x:row>
    <x:row r="377">
      <x:c r="A377" s="2"/>
    </x:row>
    <x:row r="378">
      <x:c r="A378" s="2"/>
    </x:row>
    <x:row r="379">
      <x:c r="A379" s="2"/>
    </x:row>
    <x:row r="380">
      <x:c r="A380" s="2"/>
    </x:row>
    <x:row r="381">
      <x:c r="A381" s="2"/>
    </x:row>
    <x:row r="382">
      <x:c r="A382" s="2"/>
    </x:row>
    <x:row r="383">
      <x:c r="A383" s="2"/>
    </x:row>
    <x:row r="384">
      <x:c r="A384" s="2"/>
    </x:row>
    <x:row r="385">
      <x:c r="A385" s="2"/>
    </x:row>
    <x:row r="386">
      <x:c r="A386" s="2"/>
    </x:row>
    <x:row r="387">
      <x:c r="A387" s="2"/>
    </x:row>
    <x:row r="388">
      <x:c r="A388" s="2"/>
    </x:row>
    <x:row r="389">
      <x:c r="A389" s="2"/>
    </x:row>
    <x:row r="390">
      <x:c r="A390" s="2"/>
    </x:row>
    <x:row r="391">
      <x:c r="A391" s="2"/>
    </x:row>
    <x:row r="392">
      <x:c r="A392" s="2"/>
    </x:row>
    <x:row r="393">
      <x:c r="A393" s="2"/>
    </x:row>
    <x:row r="394">
      <x:c r="A394" s="2"/>
    </x:row>
    <x:row r="395">
      <x:c r="A395" s="2"/>
    </x:row>
    <x:row r="396">
      <x:c r="A396" s="2"/>
    </x:row>
    <x:row r="397">
      <x:c r="A397" s="2"/>
    </x:row>
    <x:row r="398">
      <x:c r="A398" s="2"/>
    </x:row>
    <x:row r="399">
      <x:c r="A399" s="2"/>
    </x:row>
    <x:row r="400">
      <x:c r="A400" s="2"/>
    </x:row>
    <x:row r="401">
      <x:c r="A401" s="2"/>
    </x:row>
    <x:row r="402">
      <x:c r="A402" s="2"/>
    </x:row>
    <x:row r="403">
      <x:c r="A403" s="2"/>
    </x:row>
    <x:row r="404">
      <x:c r="A404" s="2"/>
    </x:row>
    <x:row r="405">
      <x:c r="A405" s="2"/>
    </x:row>
    <x:row r="406">
      <x:c r="A406" s="2"/>
    </x:row>
    <x:row r="407">
      <x:c r="A407" s="2"/>
    </x:row>
    <x:row r="408">
      <x:c r="A408" s="2"/>
    </x:row>
    <x:row r="409">
      <x:c r="A409" s="2"/>
    </x:row>
    <x:row r="410">
      <x:c r="A410" s="2"/>
    </x:row>
    <x:row r="411">
      <x:c r="A411" s="2"/>
    </x:row>
    <x:row r="412">
      <x:c r="A412" s="2"/>
    </x:row>
    <x:row r="413">
      <x:c r="A413" s="2"/>
    </x:row>
    <x:row r="414">
      <x:c r="A414" s="2"/>
    </x:row>
    <x:row r="415">
      <x:c r="A415" s="2"/>
    </x:row>
    <x:row r="416">
      <x:c r="A416" s="2"/>
    </x:row>
    <x:row r="417">
      <x:c r="A417" s="2"/>
    </x:row>
    <x:row r="418">
      <x:c r="A418" s="2"/>
    </x:row>
    <x:row r="419">
      <x:c r="A419" s="2"/>
    </x:row>
    <x:row r="420">
      <x:c r="A420" s="2"/>
    </x:row>
    <x:row r="421">
      <x:c r="A421" s="2"/>
    </x:row>
    <x:row r="422">
      <x:c r="A422" s="2"/>
    </x:row>
    <x:row r="423">
      <x:c r="A423" s="2"/>
    </x:row>
    <x:row r="424">
      <x:c r="A424" s="2"/>
    </x:row>
    <x:row r="425">
      <x:c r="A425" s="2"/>
    </x:row>
    <x:row r="426">
      <x:c r="A426" s="2"/>
    </x:row>
    <x:row r="427">
      <x:c r="A427" s="2"/>
    </x:row>
    <x:row r="428">
      <x:c r="A428" s="2"/>
    </x:row>
    <x:row r="429">
      <x:c r="A429" s="2"/>
    </x:row>
    <x:row r="430">
      <x:c r="A430" s="2"/>
    </x:row>
    <x:row r="431">
      <x:c r="A431" s="2"/>
    </x:row>
    <x:row r="432">
      <x:c r="A432" s="2"/>
    </x:row>
    <x:row r="433">
      <x:c r="A433" s="2"/>
    </x:row>
    <x:row r="434">
      <x:c r="A434" s="2"/>
    </x:row>
    <x:row r="435">
      <x:c r="A435" s="2"/>
    </x:row>
    <x:row r="436">
      <x:c r="A436" s="2"/>
    </x:row>
    <x:row r="437">
      <x:c r="A437" s="2"/>
    </x:row>
    <x:row r="438">
      <x:c r="A438" s="2"/>
    </x:row>
    <x:row r="439">
      <x:c r="A439" s="2"/>
    </x:row>
    <x:row r="440">
      <x:c r="A440" s="2"/>
    </x:row>
    <x:row r="441">
      <x:c r="A441" s="2"/>
    </x:row>
    <x:row r="442">
      <x:c r="A442" s="2"/>
    </x:row>
    <x:row r="443">
      <x:c r="A443" s="2"/>
    </x:row>
    <x:row r="444">
      <x:c r="A444" s="2"/>
    </x:row>
    <x:row r="445">
      <x:c r="A445" s="2"/>
    </x:row>
    <x:row r="446">
      <x:c r="A446" s="2"/>
    </x:row>
    <x:row r="447">
      <x:c r="A447" s="2"/>
    </x:row>
    <x:row r="448">
      <x:c r="A448" s="2"/>
    </x:row>
    <x:row r="449">
      <x:c r="A449" s="2"/>
    </x:row>
    <x:row r="450">
      <x:c r="A450" s="2"/>
    </x:row>
    <x:row r="451">
      <x:c r="A451" s="2"/>
    </x:row>
    <x:row r="452">
      <x:c r="A452" s="2"/>
    </x:row>
    <x:row r="453">
      <x:c r="A453" s="2"/>
    </x:row>
    <x:row r="454">
      <x:c r="A454" s="2"/>
    </x:row>
    <x:row r="455">
      <x:c r="A455" s="2"/>
    </x:row>
    <x:row r="456">
      <x:c r="A456" s="2"/>
    </x:row>
    <x:row r="457">
      <x:c r="A457" s="2"/>
    </x:row>
    <x:row r="458">
      <x:c r="A458" s="2"/>
    </x:row>
    <x:row r="459">
      <x:c r="A459" s="2"/>
    </x:row>
    <x:row r="460">
      <x:c r="A460" s="2"/>
    </x:row>
    <x:row r="461">
      <x:c r="A461" s="2"/>
    </x:row>
    <x:row r="462">
      <x:c r="A462" s="2"/>
    </x:row>
    <x:row r="463">
      <x:c r="A463" s="2"/>
    </x:row>
    <x:row r="464">
      <x:c r="A464" s="2"/>
    </x:row>
    <x:row r="465">
      <x:c r="A465" s="2"/>
    </x:row>
    <x:row r="466">
      <x:c r="A466" s="2"/>
    </x:row>
    <x:row r="467">
      <x:c r="A467" s="2"/>
    </x:row>
    <x:row r="468">
      <x:c r="A468" s="2"/>
    </x:row>
    <x:row r="469">
      <x:c r="A469" s="2"/>
    </x:row>
    <x:row r="470">
      <x:c r="A470" s="2"/>
    </x:row>
    <x:row r="471">
      <x:c r="A471" s="2"/>
    </x:row>
    <x:row r="472">
      <x:c r="A472" s="2"/>
    </x:row>
    <x:row r="473">
      <x:c r="A473" s="2"/>
    </x:row>
    <x:row r="474">
      <x:c r="A474" s="2"/>
    </x:row>
    <x:row r="475">
      <x:c r="A475" s="2"/>
    </x:row>
    <x:row r="476">
      <x:c r="A476" s="2"/>
    </x:row>
    <x:row r="477">
      <x:c r="A477" s="2"/>
    </x:row>
    <x:row r="478">
      <x:c r="A478" s="2"/>
    </x:row>
    <x:row r="479">
      <x:c r="A479" s="2"/>
    </x:row>
    <x:row r="480">
      <x:c r="A480" s="2"/>
    </x:row>
    <x:row r="481">
      <x:c r="A481" s="2"/>
    </x:row>
    <x:row r="482">
      <x:c r="A482" s="2"/>
    </x:row>
    <x:row r="483">
      <x:c r="A483" s="2"/>
    </x:row>
    <x:row r="484">
      <x:c r="A484" s="2"/>
    </x:row>
    <x:row r="485">
      <x:c r="A485" s="2"/>
    </x:row>
    <x:row r="486">
      <x:c r="A486" s="2"/>
    </x:row>
    <x:row r="487">
      <x:c r="A487" s="2"/>
    </x:row>
    <x:row r="488">
      <x:c r="A488" s="2"/>
    </x:row>
    <x:row r="489">
      <x:c r="A489" s="2"/>
    </x:row>
    <x:row r="490">
      <x:c r="A490" s="2"/>
    </x:row>
    <x:row r="491">
      <x:c r="A491" s="2"/>
    </x:row>
    <x:row r="492">
      <x:c r="A492" s="2"/>
    </x:row>
    <x:row r="493">
      <x:c r="A493" s="2"/>
    </x:row>
    <x:row r="494">
      <x:c r="A494" s="2"/>
    </x:row>
    <x:row r="495">
      <x:c r="A495" s="2"/>
    </x:row>
    <x:row r="496">
      <x:c r="A496" s="2"/>
    </x:row>
    <x:row r="497">
      <x:c r="A497" s="2"/>
    </x:row>
    <x:row r="498">
      <x:c r="A498" s="2"/>
    </x:row>
    <x:row r="499">
      <x:c r="A499" s="2"/>
    </x:row>
    <x:row r="500">
      <x:c r="A500" s="2"/>
    </x:row>
  </x:sheetData>
  <x:pageMargins left="0.7" right="0.7" top="0.75" bottom="0.75" header="0.3" footer="0.3"/>
  <x:tableParts count="1">
    <x:tablePart xmlns:r="http://schemas.openxmlformats.org/officeDocument/2006/relationships" r:id="Rffd0a0a5f9f148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9" hidden="0" customWidth="1"/>
    <x:col min="5" max="5" width="9" hidden="0" customWidth="1"/>
    <x:col min="6" max="6" width="9" hidden="0" customWidth="1"/>
    <x:col min="7" max="7" width="18" hidden="0" customWidth="1"/>
    <x:col min="8" max="8" width="35" hidden="0" customWidth="1"/>
    <x:col min="9" max="9" width="45" hidden="0" customWidth="1"/>
    <x:col min="10" max="10" width="35" hidden="0" customWidth="1"/>
    <x:col min="11" max="11" width="14" hidden="0" customWidth="1"/>
  </x:cols>
  <x:sheetData>
    <x:row r="1">
      <x:c r="A1" s="18" t="str">
        <x:v>Industry</x:v>
      </x:c>
      <x:c r="B1" s="18" t="str">
        <x:v>Baseline status</x:v>
      </x:c>
      <x:c r="C1" s="18" t="str">
        <x:v>Stock count</x:v>
      </x:c>
      <x:c r="D1" s="18" t="str">
        <x:v>IN</x:v>
      </x:c>
      <x:c r="E1" s="18" t="str">
        <x:v>WATCH</x:v>
      </x:c>
      <x:c r="F1" s="18" t="str">
        <x:v>OUT</x:v>
      </x:c>
      <x:c r="G1" s="18" t="str">
        <x:v>Weekly thesis status</x:v>
      </x:c>
      <x:c r="H1" s="18" t="str">
        <x:v>Previous thesis</x:v>
      </x:c>
      <x:c r="I1" s="18" t="str">
        <x:v>Current thesis / catalyst</x:v>
      </x:c>
      <x:c r="J1" s="18" t="str">
        <x:v>Key risk</x:v>
      </x:c>
      <x:c r="K1" s="18" t="str">
        <x:v>Last review</x:v>
      </x:c>
    </x:row>
    <x:row r="2">
      <x:c r="A2" t="str">
        <x:v>Auto components / engineering</x:v>
      </x:c>
      <x:c r="B2" t="str">
        <x:v>IN</x:v>
      </x:c>
      <x:c r="C2" t="n">
        <x:v>5</x:v>
      </x:c>
      <x:c r="D2" t="n">
        <x:v>1</x:v>
      </x:c>
      <x:c r="E2" t="n">
        <x:v>4</x:v>
      </x:c>
      <x:c r="F2" t="n">
        <x:v>0</x:v>
      </x:c>
      <x:c r="G2" t="str">
        <x:v>UNCHANGED</x:v>
      </x:c>
      <x:c r="H2" t="str">
        <x:v>Baseline established</x:v>
      </x:c>
      <x:c r="I2" t="str">
        <x:v>Review weekly</x:v>
      </x:c>
      <x:c r="J2" t="str">
        <x:v>Geopolitical/macro/valuation change</x:v>
      </x:c>
      <x:c r="K2" s="2" t="n">
        <x:v>46262</x:v>
      </x:c>
    </x:row>
    <x:row r="3">
      <x:c r="A3" t="str">
        <x:v>Capital goods</x:v>
      </x:c>
      <x:c r="B3" t="str">
        <x:v>IN</x:v>
      </x:c>
      <x:c r="C3" t="n">
        <x:v>5</x:v>
      </x:c>
      <x:c r="D3" t="n">
        <x:v>1</x:v>
      </x:c>
      <x:c r="E3" t="n">
        <x:v>4</x:v>
      </x:c>
      <x:c r="F3" t="n">
        <x:v>0</x:v>
      </x:c>
      <x:c r="G3" t="str">
        <x:v>UNCHANGED</x:v>
      </x:c>
      <x:c r="H3" t="str">
        <x:v>Baseline established</x:v>
      </x:c>
      <x:c r="I3" t="str">
        <x:v>Review weekly</x:v>
      </x:c>
      <x:c r="J3" t="str">
        <x:v>Geopolitical/macro/valuation change</x:v>
      </x:c>
      <x:c r="K3" s="2" t="n">
        <x:v>46262</x:v>
      </x:c>
    </x:row>
    <x:row r="4">
      <x:c r="A4" t="str">
        <x:v>Cement / building materials</x:v>
      </x:c>
      <x:c r="B4" t="str">
        <x:v>IN</x:v>
      </x:c>
      <x:c r="C4" t="n">
        <x:v>5</x:v>
      </x:c>
      <x:c r="D4" t="n">
        <x:v>2</x:v>
      </x:c>
      <x:c r="E4" t="n">
        <x:v>3</x:v>
      </x:c>
      <x:c r="F4" t="n">
        <x:v>0</x:v>
      </x:c>
      <x:c r="G4" t="str">
        <x:v>UNCHANGED</x:v>
      </x:c>
      <x:c r="H4" t="str">
        <x:v>Baseline established</x:v>
      </x:c>
      <x:c r="I4" t="str">
        <x:v>Review weekly</x:v>
      </x:c>
      <x:c r="J4" t="str">
        <x:v>Geopolitical/macro/valuation change</x:v>
      </x:c>
      <x:c r="K4" s="2" t="n">
        <x:v>46262</x:v>
      </x:c>
    </x:row>
    <x:row r="5">
      <x:c r="A5" t="str">
        <x:v>Consumer / premiumisation</x:v>
      </x:c>
      <x:c r="B5" t="str">
        <x:v>IN</x:v>
      </x:c>
      <x:c r="C5" t="n">
        <x:v>5</x:v>
      </x:c>
      <x:c r="D5" t="n">
        <x:v>2</x:v>
      </x:c>
      <x:c r="E5" t="n">
        <x:v>3</x:v>
      </x:c>
      <x:c r="F5" t="n">
        <x:v>0</x:v>
      </x:c>
      <x:c r="G5" t="str">
        <x:v>UNCHANGED</x:v>
      </x:c>
      <x:c r="H5" t="str">
        <x:v>Baseline established</x:v>
      </x:c>
      <x:c r="I5" t="str">
        <x:v>Review weekly</x:v>
      </x:c>
      <x:c r="J5" t="str">
        <x:v>Geopolitical/macro/valuation change</x:v>
      </x:c>
      <x:c r="K5" s="2" t="n">
        <x:v>46262</x:v>
      </x:c>
    </x:row>
    <x:row r="6">
      <x:c r="A6" t="str">
        <x:v>Defence</x:v>
      </x:c>
      <x:c r="B6" t="str">
        <x:v>IN</x:v>
      </x:c>
      <x:c r="C6" t="n">
        <x:v>5</x:v>
      </x:c>
      <x:c r="D6" t="n">
        <x:v>2</x:v>
      </x:c>
      <x:c r="E6" t="n">
        <x:v>3</x:v>
      </x:c>
      <x:c r="F6" t="n">
        <x:v>0</x:v>
      </x:c>
      <x:c r="G6" t="str">
        <x:v>UNCHANGED</x:v>
      </x:c>
      <x:c r="H6" t="str">
        <x:v>Baseline established</x:v>
      </x:c>
      <x:c r="I6" t="str">
        <x:v>Review weekly</x:v>
      </x:c>
      <x:c r="J6" t="str">
        <x:v>Geopolitical/macro/valuation change</x:v>
      </x:c>
      <x:c r="K6" s="2" t="n">
        <x:v>46262</x:v>
      </x:c>
    </x:row>
    <x:row r="7">
      <x:c r="A7" t="str">
        <x:v>Electronics / EMS</x:v>
      </x:c>
      <x:c r="B7" t="str">
        <x:v>IN</x:v>
      </x:c>
      <x:c r="C7" t="n">
        <x:v>5</x:v>
      </x:c>
      <x:c r="D7" t="n">
        <x:v>1</x:v>
      </x:c>
      <x:c r="E7" t="n">
        <x:v>4</x:v>
      </x:c>
      <x:c r="F7" t="n">
        <x:v>0</x:v>
      </x:c>
      <x:c r="G7" t="str">
        <x:v>UNCHANGED</x:v>
      </x:c>
      <x:c r="H7" t="str">
        <x:v>Baseline established</x:v>
      </x:c>
      <x:c r="I7" t="str">
        <x:v>Review weekly</x:v>
      </x:c>
      <x:c r="J7" t="str">
        <x:v>Geopolitical/macro/valuation change</x:v>
      </x:c>
      <x:c r="K7" s="2" t="n">
        <x:v>46262</x:v>
      </x:c>
    </x:row>
    <x:row r="8">
      <x:c r="A8" t="str">
        <x:v>Financials</x:v>
      </x:c>
      <x:c r="B8" t="str">
        <x:v>IN</x:v>
      </x:c>
      <x:c r="C8" t="n">
        <x:v>5</x:v>
      </x:c>
      <x:c r="D8" t="n">
        <x:v>2</x:v>
      </x:c>
      <x:c r="E8" t="n">
        <x:v>3</x:v>
      </x:c>
      <x:c r="F8" t="n">
        <x:v>0</x:v>
      </x:c>
      <x:c r="G8" t="str">
        <x:v>UNCHANGED</x:v>
      </x:c>
      <x:c r="H8" t="str">
        <x:v>Baseline established</x:v>
      </x:c>
      <x:c r="I8" t="str">
        <x:v>Review weekly</x:v>
      </x:c>
      <x:c r="J8" t="str">
        <x:v>Geopolitical/macro/valuation change</x:v>
      </x:c>
      <x:c r="K8" s="2" t="n">
        <x:v>46262</x:v>
      </x:c>
    </x:row>
    <x:row r="9">
      <x:c r="A9" t="str">
        <x:v>Pharma / healthcare</x:v>
      </x:c>
      <x:c r="B9" t="str">
        <x:v>IN</x:v>
      </x:c>
      <x:c r="C9" t="n">
        <x:v>5</x:v>
      </x:c>
      <x:c r="D9" t="n">
        <x:v>3</x:v>
      </x:c>
      <x:c r="E9" t="n">
        <x:v>2</x:v>
      </x:c>
      <x:c r="F9" t="n">
        <x:v>0</x:v>
      </x:c>
      <x:c r="G9" t="str">
        <x:v>UNCHANGED</x:v>
      </x:c>
      <x:c r="H9" t="str">
        <x:v>Baseline established</x:v>
      </x:c>
      <x:c r="I9" t="str">
        <x:v>Review weekly</x:v>
      </x:c>
      <x:c r="J9" t="str">
        <x:v>Geopolitical/macro/valuation change</x:v>
      </x:c>
      <x:c r="K9" s="2" t="n">
        <x:v>46262</x:v>
      </x:c>
    </x:row>
    <x:row r="10">
      <x:c r="A10" t="str">
        <x:v>Power / T&amp;D</x:v>
      </x:c>
      <x:c r="B10" t="str">
        <x:v>IN</x:v>
      </x:c>
      <x:c r="C10" t="n">
        <x:v>5</x:v>
      </x:c>
      <x:c r="D10" t="n">
        <x:v>4</x:v>
      </x:c>
      <x:c r="E10" t="n">
        <x:v>1</x:v>
      </x:c>
      <x:c r="F10" t="n">
        <x:v>0</x:v>
      </x:c>
      <x:c r="G10" t="str">
        <x:v>UNCHANGED</x:v>
      </x:c>
      <x:c r="H10" t="str">
        <x:v>Baseline established</x:v>
      </x:c>
      <x:c r="I10" t="str">
        <x:v>Review weekly</x:v>
      </x:c>
      <x:c r="J10" t="str">
        <x:v>Geopolitical/macro/valuation change</x:v>
      </x:c>
      <x:c r="K10" s="2" t="n">
        <x:v>46262</x:v>
      </x:c>
    </x:row>
    <x:row r="11">
      <x:c r="A11" t="str">
        <x:v>Telecom / digital infra</x:v>
      </x:c>
      <x:c r="B11" t="str">
        <x:v>IN</x:v>
      </x:c>
      <x:c r="C11" t="n">
        <x:v>5</x:v>
      </x:c>
      <x:c r="D11" t="n">
        <x:v>2</x:v>
      </x:c>
      <x:c r="E11" t="n">
        <x:v>3</x:v>
      </x:c>
      <x:c r="F11" t="n">
        <x:v>0</x:v>
      </x:c>
      <x:c r="G11" t="str">
        <x:v>UNCHANGED</x:v>
      </x:c>
      <x:c r="H11" t="str">
        <x:v>Baseline established</x:v>
      </x:c>
      <x:c r="I11" t="str">
        <x:v>Review weekly</x:v>
      </x:c>
      <x:c r="J11" t="str">
        <x:v>Geopolitical/macro/valuation change</x:v>
      </x:c>
      <x:c r="K11" s="2" t="n">
        <x:v>46262</x:v>
      </x:c>
    </x:row>
  </x:sheetData>
  <x:pageMargins left="0.7" right="0.7" top="0.75" bottom="0.75" header="0.3" footer="0.3"/>
  <x:tableParts count="1">
    <x:tablePart xmlns:r="http://schemas.openxmlformats.org/officeDocument/2006/relationships" r:id="R5fdcfae98b0c48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18" t="str">
        <x:v>STOCK SCREEN METHODOLOGY</x:v>
      </x:c>
      <x:c r="B1" s="18" t="str">
        <x:v>Value</x:v>
      </x:c>
    </x:row>
    <x:row r="2">
      <x:c r="A2" s="10" t="str">
        <x:v>Baseline date</x:v>
      </x:c>
      <x:c r="B2" s="12" t="n">
        <x:v>46262</x:v>
      </x:c>
    </x:row>
    <x:row r="3">
      <x:c r="A3" s="10" t="str">
        <x:v>Review frequency</x:v>
      </x:c>
      <x:c r="B3" s="13" t="str">
        <x:v>Weekly</x:v>
      </x:c>
    </x:row>
    <x:row r="4">
      <x:c r="A4" s="10" t="str">
        <x:v>Inflation assumption</x:v>
      </x:c>
      <x:c r="B4" s="14" t="n">
        <x:v>0.08</x:v>
      </x:c>
    </x:row>
    <x:row r="5">
      <x:c r="A5" s="10" t="str">
        <x:v>Minimum 5Y nominal total-return CAGR</x:v>
      </x:c>
      <x:c r="B5" s="14" t="n">
        <x:v>0.12</x:v>
      </x:c>
    </x:row>
    <x:row r="6">
      <x:c r="A6" s="10" t="str">
        <x:v>Dividend rule</x:v>
      </x:c>
      <x:c r="B6" s="13" t="str">
        <x:v>Dividend every year from 2016 onward; for companies listed after 2016, every eligible year since listing.</x:v>
      </x:c>
    </x:row>
    <x:row r="7">
      <x:c r="A7" s="10" t="str">
        <x:v>52-week rule</x:v>
      </x:c>
      <x:c r="B7" s="13" t="str">
        <x:v>Closer to Low if current price is below midpoint of 52W low/high; otherwise Closer to High.</x:v>
      </x:c>
    </x:row>
    <x:row r="8">
      <x:c r="A8" s="10" t="str">
        <x:v>Status definitions</x:v>
      </x:c>
      <x:c r="B8" s="13" t="str">
        <x:v>IN = qualifies methodology; OUT = fails mandatory rule or no longer clears return methodology; WATCH = dividend-qualified but valuation/return hurdle is borderline.</x:v>
      </x:c>
    </x:row>
    <x:row r="9">
      <x:c r="A9" s="10" t="str">
        <x:v>Weekly process</x:v>
      </x:c>
      <x:c r="B9" s="13" t="str">
        <x:v>Refresh prices, yields, 52W range, industry thesis and return model; compare against prior weekly snapshot; record every IN/OUT/status/price/industry change.</x:v>
      </x:c>
    </x:row>
    <x:row r="10">
      <x:c r="A10" s="10" t="str">
        <x:v>Industry review</x:v>
      </x:c>
      <x:c r="B10" s="13" t="str">
        <x:v>Retain/add/remove industries based on structural outlook in the current global/geopolitical environment; log thesis changes separately from stock changes.</x:v>
      </x:c>
    </x:row>
    <x:row r="11">
      <x:c r="A11" s="10" t="str">
        <x:v>Important</x:v>
      </x:c>
      <x:c r="B11" s="13" t="str">
        <x:v>12% hurdle is a forward analytical estimate, not guaranteed return or investment advice.</x:v>
      </x:c>
    </x:row>
    <x:row r="13">
      <x:c r="A13" s="75" t="str">
        <x:v>LATEST MODEL / PRODUCTION UPDATES</x:v>
      </x:c>
      <x:c r="B13" s="75"/>
    </x:row>
    <x:row r="14">
      <x:c r="A14" s="76" t="str">
        <x:v>App name</x:v>
      </x:c>
      <x:c r="B14" s="24" t="str">
        <x:v>YieldAlpha</x:v>
      </x:c>
    </x:row>
    <x:row r="15">
      <x:c r="A15" s="76" t="str">
        <x:v>Data policy</x:v>
      </x:c>
      <x:c r="B15" s="24" t="str">
        <x:v>Fresh fetched data; no production seed/CSV truth</x:v>
      </x:c>
    </x:row>
    <x:row r="16">
      <x:c r="A16" s="76" t="str">
        <x:v>Authoritative source priority</x:v>
      </x:c>
      <x:c r="B16" s="24" t="str">
        <x:v>NSE / BSE / company filings / government-regulator</x:v>
      </x:c>
    </x:row>
    <x:row r="17">
      <x:c r="A17" s="76" t="str">
        <x:v>Point-in-time backtests</x:v>
      </x:c>
      <x:c r="B17" s="24" t="str">
        <x:v>Use only data known on or before analysis date</x:v>
      </x:c>
    </x:row>
    <x:row r="18">
      <x:c r="A18" s="76" t="str">
        <x:v>Snapshots</x:v>
      </x:c>
      <x:c r="B18" s="24" t="str">
        <x:v>Immutable data snapshot per model run</x:v>
      </x:c>
    </x:row>
    <x:row r="19">
      <x:c r="A19" s="76" t="str">
        <x:v>AI role</x:v>
      </x:c>
      <x:c r="B19" s="24" t="str">
        <x:v>Explain/summarize only; quantitative calculations deterministic</x:v>
      </x:c>
    </x:row>
    <x:row r="20">
      <x:c r="A20" s="76" t="str">
        <x:v>Model validation</x:v>
      </x:c>
      <x:c r="B20" s="24" t="str">
        <x:v>Aug-2021 to Aug-2026 preliminary result: WORKS</x:v>
      </x:c>
    </x:row>
    <x:row r="21">
      <x:c r="A21" s="76" t="str">
        <x:v>Backtest CAGR</x:v>
      </x:c>
      <x:c r="B21" s="24" t="str">
        <x:v>~23.46% vs 12% hurdle</x:v>
      </x:c>
    </x:row>
    <x:row r="22">
      <x:c r="A22" s="76" t="str">
        <x:v>Benchmark comparison</x:v>
      </x:c>
      <x:c r="B22" s="24" t="str">
        <x:v>Beat near-period Nifty 50 TRI and Sensex TRI estimates</x:v>
      </x:c>
    </x:row>
    <x:row r="23">
      <x:c r="A23" s="76" t="str">
        <x:v>Production caveat</x:v>
      </x:c>
      <x:c r="B23" s="24" t="str">
        <x:v>Re-run exact performance from licensed adjusted dataset</x:v>
      </x:c>
    </x:row>
  </x:sheetData>
  <x:mergeCells>
    <x:mergeCell ref="A13:B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74" t="str">
        <x:v>YIELDALPHA — 5-YEAR MODEL BACKTEST VALIDATION</x:v>
      </x:c>
      <x:c r="B1" s="74"/>
      <x:c r="C1" s="74"/>
      <x:c r="D1" s="74"/>
      <x:c r="E1" s="74"/>
      <x:c r="F1" s="74"/>
      <x:c r="G1" s="74"/>
      <x:c r="H1" s="74"/>
    </x:row>
    <x:row r="2">
      <x:c r="A2" s="77" t="str">
        <x:v>Information cut-off: 27-Aug-2021 close | Execution: 30-Aug-2021 | End: 28-Aug-2026 | Start capital: ₹10,00,000</x:v>
      </x:c>
      <x:c r="B2" s="77"/>
      <x:c r="C2" s="77"/>
      <x:c r="D2" s="77"/>
      <x:c r="E2" s="77"/>
      <x:c r="F2" s="77"/>
      <x:c r="G2" s="77"/>
      <x:c r="H2" s="77"/>
    </x:row>
    <x:row r="4">
      <x:c r="A4" s="53" t="str">
        <x:v>Metric</x:v>
      </x:c>
      <x:c r="B4" s="53" t="str">
        <x:v>Value</x:v>
      </x:c>
      <x:c r="C4" t="str"/>
      <x:c r="D4" s="53" t="str">
        <x:v>Benchmark</x:v>
      </x:c>
      <x:c r="E4" s="53" t="str">
        <x:v>CAGR</x:v>
      </x:c>
      <x:c r="F4" t="str"/>
      <x:c r="G4" s="53" t="str">
        <x:v>Conclusion</x:v>
      </x:c>
      <x:c r="H4" s="53" t="str">
        <x:v>Status</x:v>
      </x:c>
    </x:row>
    <x:row r="5">
      <x:c r="A5" t="str">
        <x:v>Starting capital (₹)</x:v>
      </x:c>
      <x:c r="B5" t="n">
        <x:v>1000000</x:v>
      </x:c>
      <x:c r="C5" t="str"/>
      <x:c r="D5" t="str">
        <x:v>Nifty 50 TRI</x:v>
      </x:c>
      <x:c r="E5" s="20" t="n">
        <x:v>0.104</x:v>
      </x:c>
      <x:c r="F5" t="str"/>
      <x:c r="G5" t="str">
        <x:v>MODEL VERDICT</x:v>
      </x:c>
      <x:c r="H5" s="55" t="str">
        <x:v>WORKS</x:v>
      </x:c>
    </x:row>
    <x:row r="6">
      <x:c r="A6" t="str">
        <x:v>Estimated ending value (₹)</x:v>
      </x:c>
      <x:c r="B6" t="n">
        <x:v>2868000</x:v>
      </x:c>
      <x:c r="C6" t="str"/>
      <x:c r="D6" t="str">
        <x:v>Sensex TRI</x:v>
      </x:c>
      <x:c r="E6" s="20" t="n">
        <x:v>0.095</x:v>
      </x:c>
      <x:c r="F6" t="str"/>
      <x:c r="G6" t="str">
        <x:v>Validation</x:v>
      </x:c>
      <x:c r="H6" t="str">
        <x:v>Preliminary</x:v>
      </x:c>
    </x:row>
    <x:row r="7">
      <x:c r="A7" t="str">
        <x:v>Portfolio CAGR</x:v>
      </x:c>
      <x:c r="B7" s="20" t="n">
        <x:v>0.2346</x:v>
      </x:c>
      <x:c r="C7" t="str"/>
      <x:c r="D7" t="str">
        <x:v>Required hurdle</x:v>
      </x:c>
      <x:c r="E7" s="20" t="n">
        <x:v>0.12</x:v>
      </x:c>
      <x:c r="F7" t="str"/>
      <x:c r="G7" t="str">
        <x:v>Dividend criterion</x:v>
      </x:c>
      <x:c r="H7" t="str">
        <x:v>Mandatory</x:v>
      </x:c>
    </x:row>
    <x:row r="8">
      <x:c r="A8" t="str">
        <x:v>Real CAGR @ 8% inflation</x:v>
      </x:c>
      <x:c r="B8" s="20" t="n">
        <x:v>0.143</x:v>
      </x:c>
      <x:c r="C8" t="str"/>
      <x:c r="D8" t="str">
        <x:v>Hit rate</x:v>
      </x:c>
      <x:c r="E8" s="20" t="n">
        <x:v>0.6428571428571429</x:v>
      </x:c>
      <x:c r="F8" t="str"/>
      <x:c r="G8" t="str">
        <x:v>Portfolio construction</x:v>
      </x:c>
      <x:c r="H8" t="str">
        <x:v>Equal weight</x:v>
      </x:c>
    </x:row>
    <x:row r="10">
      <x:c r="A10" s="74" t="str">
        <x:v>Stock</x:v>
      </x:c>
      <x:c r="B10" s="74" t="str">
        <x:v>Entry basis (₹)</x:v>
      </x:c>
      <x:c r="C10" s="74" t="str">
        <x:v>End-value basis (₹)</x:v>
      </x:c>
      <x:c r="D10" s="74" t="str">
        <x:v>Approx dividends/share (₹)</x:v>
      </x:c>
      <x:c r="E10" s="74" t="str">
        <x:v>Approx total multiple</x:v>
      </x:c>
      <x:c r="F10" s="74" t="str">
        <x:v>Approx CAGR</x:v>
      </x:c>
      <x:c r="G10" s="74" t="str">
        <x:v>12% test</x:v>
      </x:c>
      <x:c r="H10" s="74" t="str">
        <x:v>Notes</x:v>
      </x:c>
    </x:row>
    <x:row r="11">
      <x:c r="A11" t="str">
        <x:v>BEL</x:v>
      </x:c>
      <x:c r="B11" s="79" t="n">
        <x:v>61.63</x:v>
      </x:c>
      <x:c r="C11" s="79" t="n">
        <x:v>410.05</x:v>
      </x:c>
      <x:c r="D11" s="79" t="n">
        <x:v>10.8</x:v>
      </x:c>
      <x:c r="E11" s="78" t="n">
        <x:v>6.83</x:v>
      </x:c>
      <x:c r="F11" s="4" t="n">
        <x:v>0.468</x:v>
      </x:c>
      <x:c r="G11" t="str">
        <x:v>PASS</x:v>
      </x:c>
      <x:c r="H11" t="str">
        <x:v>Corporate-action adjusted</x:v>
      </x:c>
    </x:row>
    <x:row r="12">
      <x:c r="A12" t="str">
        <x:v>KEC International</x:v>
      </x:c>
      <x:c r="B12" s="79" t="n">
        <x:v>406</x:v>
      </x:c>
      <x:c r="C12" s="79" t="n">
        <x:v>420</x:v>
      </x:c>
      <x:c r="D12" s="79" t="n">
        <x:v>22</x:v>
      </x:c>
      <x:c r="E12" s="78" t="n">
        <x:v>1.09</x:v>
      </x:c>
      <x:c r="F12" s="4" t="n">
        <x:v>0.017</x:v>
      </x:c>
      <x:c r="G12" t="str">
        <x:v>FAIL</x:v>
      </x:c>
      <x:c r="H12" t="str">
        <x:v>Clear miss</x:v>
      </x:c>
    </x:row>
    <x:row r="13">
      <x:c r="A13" t="str">
        <x:v>KEI Industries</x:v>
      </x:c>
      <x:c r="B13" s="79" t="n">
        <x:v>750</x:v>
      </x:c>
      <x:c r="C13" s="79" t="n">
        <x:v>5555.83</x:v>
      </x:c>
      <x:c r="D13" s="79" t="n">
        <x:v>17.5</x:v>
      </x:c>
      <x:c r="E13" s="78" t="n">
        <x:v>7.43</x:v>
      </x:c>
      <x:c r="F13" s="4" t="n">
        <x:v>0.494</x:v>
      </x:c>
      <x:c r="G13" t="str">
        <x:v>PASS</x:v>
      </x:c>
      <x:c r="H13" t="str">
        <x:v>Strong winner</x:v>
      </x:c>
    </x:row>
    <x:row r="14">
      <x:c r="A14" t="str">
        <x:v>Siemens + Siemens Energy</x:v>
      </x:c>
      <x:c r="B14" s="79" t="n">
        <x:v>2227.14</x:v>
      </x:c>
      <x:c r="C14" s="79" t="n">
        <x:v>7324.2</x:v>
      </x:c>
      <x:c r="D14" s="79" t="n">
        <x:v>58</x:v>
      </x:c>
      <x:c r="E14" s="78" t="n">
        <x:v>3.31</x:v>
      </x:c>
      <x:c r="F14" s="4" t="n">
        <x:v>0.271</x:v>
      </x:c>
      <x:c r="G14" t="str">
        <x:v>PASS</x:v>
      </x:c>
      <x:c r="H14" t="str">
        <x:v>Demerger value included</x:v>
      </x:c>
    </x:row>
    <x:row r="15">
      <x:c r="A15" t="str">
        <x:v>Tata Communications</x:v>
      </x:c>
      <x:c r="B15" s="79" t="n">
        <x:v>1403.1</x:v>
      </x:c>
      <x:c r="C15" s="79" t="n">
        <x:v>1690.3</x:v>
      </x:c>
      <x:c r="D15" s="79" t="n">
        <x:v>100.9</x:v>
      </x:c>
      <x:c r="E15" s="78" t="n">
        <x:v>1.28</x:v>
      </x:c>
      <x:c r="F15" s="4" t="n">
        <x:v>0.05</x:v>
      </x:c>
      <x:c r="G15" t="str">
        <x:v>FAIL</x:v>
      </x:c>
      <x:c r="H15" t="str">
        <x:v>Below hurdle</x:v>
      </x:c>
    </x:row>
    <x:row r="16">
      <x:c r="A16" t="str">
        <x:v>Motherson + MSWIL</x:v>
      </x:c>
      <x:c r="B16" s="79" t="n">
        <x:v>221.45</x:v>
      </x:c>
      <x:c r="C16" s="79" t="n">
        <x:v>454.3</x:v>
      </x:c>
      <x:c r="D16" s="79" t="n">
        <x:v>8</x:v>
      </x:c>
      <x:c r="E16" s="78" t="n">
        <x:v>2.09</x:v>
      </x:c>
      <x:c r="F16" s="4" t="n">
        <x:v>0.159</x:v>
      </x:c>
      <x:c r="G16" t="str">
        <x:v>PASS</x:v>
      </x:c>
      <x:c r="H16" t="str">
        <x:v>Restructuring value included</x:v>
      </x:c>
    </x:row>
    <x:row r="17">
      <x:c r="A17" t="str">
        <x:v>Endurance Technologies</x:v>
      </x:c>
      <x:c r="B17" s="79" t="n">
        <x:v>1720</x:v>
      </x:c>
      <x:c r="C17" s="79" t="n">
        <x:v>2934.7</x:v>
      </x:c>
      <x:c r="D17" s="79" t="n">
        <x:v>43.25</x:v>
      </x:c>
      <x:c r="E17" s="78" t="n">
        <x:v>1.73</x:v>
      </x:c>
      <x:c r="F17" s="4" t="n">
        <x:v>0.116</x:v>
      </x:c>
      <x:c r="G17" t="str">
        <x:v>FAIL</x:v>
      </x:c>
      <x:c r="H17" t="str">
        <x:v>Close to hurdle</x:v>
      </x:c>
    </x:row>
    <x:row r="18">
      <x:c r="A18" t="str">
        <x:v>Exide Industries</x:v>
      </x:c>
      <x:c r="B18" s="79" t="n">
        <x:v>158.65</x:v>
      </x:c>
      <x:c r="C18" s="79" t="n">
        <x:v>454.25</x:v>
      </x:c>
      <x:c r="D18" s="79" t="n">
        <x:v>10</x:v>
      </x:c>
      <x:c r="E18" s="78" t="n">
        <x:v>2.93</x:v>
      </x:c>
      <x:c r="F18" s="4" t="n">
        <x:v>0.24</x:v>
      </x:c>
      <x:c r="G18" t="str">
        <x:v>PASS</x:v>
      </x:c>
      <x:c r="H18" t="str"/>
    </x:row>
    <x:row r="19">
      <x:c r="A19" t="str">
        <x:v>Marico</x:v>
      </x:c>
      <x:c r="B19" s="79" t="n">
        <x:v>527.55</x:v>
      </x:c>
      <x:c r="C19" s="79" t="n">
        <x:v>837.35</x:v>
      </x:c>
      <x:c r="D19" s="79" t="n">
        <x:v>37.75</x:v>
      </x:c>
      <x:c r="E19" s="78" t="n">
        <x:v>1.66</x:v>
      </x:c>
      <x:c r="F19" s="4" t="n">
        <x:v>0.107</x:v>
      </x:c>
      <x:c r="G19" t="str">
        <x:v>FAIL</x:v>
      </x:c>
      <x:c r="H19" t="str"/>
    </x:row>
    <x:row r="20">
      <x:c r="A20" t="str">
        <x:v>Cipla</x:v>
      </x:c>
      <x:c r="B20" s="79" t="n">
        <x:v>924</x:v>
      </x:c>
      <x:c r="C20" s="79" t="n">
        <x:v>1423</x:v>
      </x:c>
      <x:c r="D20" s="79" t="n">
        <x:v>50</x:v>
      </x:c>
      <x:c r="E20" s="78" t="n">
        <x:v>1.59</x:v>
      </x:c>
      <x:c r="F20" s="4" t="n">
        <x:v>0.098</x:v>
      </x:c>
      <x:c r="G20" t="str">
        <x:v>FAIL</x:v>
      </x:c>
      <x:c r="H20" t="str"/>
    </x:row>
    <x:row r="21">
      <x:c r="A21" t="str">
        <x:v>Sun Pharma</x:v>
      </x:c>
      <x:c r="B21" s="79" t="n">
        <x:v>787.2</x:v>
      </x:c>
      <x:c r="C21" s="79" t="n">
        <x:v>1920.1</x:v>
      </x:c>
      <x:c r="D21" s="79" t="n">
        <x:v>67</x:v>
      </x:c>
      <x:c r="E21" s="78" t="n">
        <x:v>2.52</x:v>
      </x:c>
      <x:c r="F21" s="4" t="n">
        <x:v>0.203</x:v>
      </x:c>
      <x:c r="G21" t="str">
        <x:v>PASS</x:v>
      </x:c>
      <x:c r="H21" t="str"/>
    </x:row>
    <x:row r="22">
      <x:c r="A22" t="str">
        <x:v>Larsen &amp; Toubro</x:v>
      </x:c>
      <x:c r="B22" s="79" t="n">
        <x:v>1668.8</x:v>
      </x:c>
      <x:c r="C22" s="79" t="n">
        <x:v>4041</x:v>
      </x:c>
      <x:c r="D22" s="79" t="n">
        <x:v>152</x:v>
      </x:c>
      <x:c r="E22" s="78" t="n">
        <x:v>2.51</x:v>
      </x:c>
      <x:c r="F22" s="4" t="n">
        <x:v>0.202</x:v>
      </x:c>
      <x:c r="G22" t="str">
        <x:v>PASS</x:v>
      </x:c>
      <x:c r="H22" t="str"/>
    </x:row>
    <x:row r="23">
      <x:c r="A23" t="str">
        <x:v>Titan Company</x:v>
      </x:c>
      <x:c r="B23" s="79" t="n">
        <x:v>1878.4</x:v>
      </x:c>
      <x:c r="C23" s="79" t="n">
        <x:v>5165</x:v>
      </x:c>
      <x:c r="D23" s="79" t="n">
        <x:v>54.5</x:v>
      </x:c>
      <x:c r="E23" s="78" t="n">
        <x:v>2.78</x:v>
      </x:c>
      <x:c r="F23" s="4" t="n">
        <x:v>0.227</x:v>
      </x:c>
      <x:c r="G23" t="str">
        <x:v>PASS</x:v>
      </x:c>
      <x:c r="H23" t="str"/>
    </x:row>
    <x:row r="24">
      <x:c r="A24" t="str">
        <x:v>Power Grid</x:v>
      </x:c>
      <x:c r="B24" s="79" t="n">
        <x:v>131.63</x:v>
      </x:c>
      <x:c r="C24" s="79" t="n">
        <x:v>266.95</x:v>
      </x:c>
      <x:c r="D24" s="79" t="n">
        <x:v>49</x:v>
      </x:c>
      <x:c r="E24" s="78" t="n">
        <x:v>2.4</x:v>
      </x:c>
      <x:c r="F24" s="4" t="n">
        <x:v>0.191</x:v>
      </x:c>
      <x:c r="G24" t="str">
        <x:v>PASS</x:v>
      </x:c>
      <x:c r="H24" t="str"/>
    </x:row>
    <x:row r="26">
      <x:c r="A26" s="75" t="str">
        <x:v>Important limitations</x:v>
      </x:c>
      <x:c r="B26" s="75" t="str"/>
      <x:c r="C26" s="75" t="str"/>
      <x:c r="D26" s="75" t="str"/>
      <x:c r="E26" s="75" t="str"/>
      <x:c r="F26" s="75" t="str"/>
      <x:c r="G26" s="75" t="str"/>
      <x:c r="H26" s="75" t="str"/>
    </x:row>
    <x:row r="27">
      <x:c r="A27" s="24" t="str">
        <x:v>1</x:v>
      </x:c>
      <x:c r="B27" s="24" t="str">
        <x:v>Reconstructed 2021 decisions, not originally timestamped in 2021; survivorship/universe-selection risk remains.</x:v>
      </x:c>
      <x:c r="C27" s="24" t="str"/>
      <x:c r="D27" s="24" t="str"/>
      <x:c r="E27" s="24" t="str"/>
      <x:c r="F27" s="24" t="str"/>
      <x:c r="G27" s="24" t="str"/>
      <x:c r="H27" s="24" t="str"/>
    </x:row>
    <x:row r="28">
      <x:c r="A28" s="24" t="str">
        <x:v>2</x:v>
      </x:c>
      <x:c r="B28" s="24" t="str">
        <x:v>Mixed public data sources were used; exact production validation must use one licensed corporate-action-adjusted source and official TRI endpoints.</x:v>
      </x:c>
      <x:c r="C28" s="24" t="str"/>
      <x:c r="D28" s="24" t="str"/>
      <x:c r="E28" s="24" t="str"/>
      <x:c r="F28" s="24" t="str"/>
      <x:c r="G28" s="24" t="str"/>
      <x:c r="H28" s="24" t="str"/>
    </x:row>
  </x:sheetData>
  <x:mergeCells>
    <x:mergeCell ref="A1:H1"/>
    <x:mergeCell ref="A2:H2"/>
  </x:mergeCells>
  <x:conditionalFormatting sqref="G11:G24">
    <x:cfRule type="expression" dxfId="3" priority="1">
      <x:formula>G11="PASS"</x:formula>
    </x:cfRule>
    <x:cfRule type="expression" dxfId="4" priority="2">
      <x:formula>LEFT(G11,4)="FAIL"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0" hidden="0" customWidth="1"/>
    <x:col min="4" max="4" width="28" hidden="0" customWidth="1"/>
    <x:col min="5" max="5" width="48" hidden="0" customWidth="1"/>
    <x:col min="6" max="6" width="16" hidden="0" customWidth="1"/>
    <x:col min="7" max="7" width="42" hidden="0" customWidth="1"/>
  </x:cols>
  <x:sheetData>
    <x:row r="1">
      <x:c r="A1" s="75" t="str">
        <x:v>YIELDALPHA — DATA SOURCE HIERARCHY &amp; RESEARCH PROVENANCE</x:v>
      </x:c>
      <x:c r="B1" s="75"/>
      <x:c r="C1" s="75"/>
      <x:c r="D1" s="75"/>
      <x:c r="E1" s="75"/>
      <x:c r="F1" s="75"/>
      <x:c r="G1" s="75"/>
    </x:row>
    <x:row r="3">
      <x:c r="A3" s="74" t="str">
        <x:v>Tier</x:v>
      </x:c>
      <x:c r="B3" s="74" t="str">
        <x:v>Source</x:v>
      </x:c>
      <x:c r="C3" s="74" t="str">
        <x:v>Primary use</x:v>
      </x:c>
      <x:c r="D3" s="74" t="str">
        <x:v>Production role</x:v>
      </x:c>
      <x:c r="E3" s="74" t="str">
        <x:v>URL</x:v>
      </x:c>
      <x:c r="F3" s="74" t="str">
        <x:v>Used in research?</x:v>
      </x:c>
      <x:c r="G3" s="74" t="str">
        <x:v>Notes</x:v>
      </x:c>
    </x:row>
    <x:row r="4">
      <x:c r="A4" t="str">
        <x:v>Tier 1</x:v>
      </x:c>
      <x:c r="B4" t="str">
        <x:v>NSE India</x:v>
      </x:c>
      <x:c r="C4" t="str">
        <x:v>Security master; corporate actions; dividends; filings; Nifty/TRI</x:v>
      </x:c>
      <x:c r="D4" t="str">
        <x:v>Authoritative / preferred</x:v>
      </x:c>
      <x:c r="E4" t="str">
        <x:v>https://www.nseindia.com/</x:v>
      </x:c>
      <x:c r="F4" t="str">
        <x:v>Yes</x:v>
      </x:c>
      <x:c r="G4" t="str">
        <x:v>Use provider adapter; verify redistribution/licensing.</x:v>
      </x:c>
    </x:row>
    <x:row r="5">
      <x:c r="A5" t="str">
        <x:v>Tier 1</x:v>
      </x:c>
      <x:c r="B5" t="str">
        <x:v>BSE India</x:v>
      </x:c>
      <x:c r="C5" t="str">
        <x:v>Security master; corporate actions; filings; Sensex/TRI</x:v>
      </x:c>
      <x:c r="D5" t="str">
        <x:v>Authoritative / preferred</x:v>
      </x:c>
      <x:c r="E5" t="str">
        <x:v>https://www.bseindia.com/</x:v>
      </x:c>
      <x:c r="F5" t="str">
        <x:v>Yes</x:v>
      </x:c>
      <x:c r="G5" t="str">
        <x:v>Commercial market-data licensing may apply.</x:v>
      </x:c>
    </x:row>
    <x:row r="6">
      <x:c r="A6" t="str">
        <x:v>Tier 1</x:v>
      </x:c>
      <x:c r="B6" t="str">
        <x:v>Company IR / filings</x:v>
      </x:c>
      <x:c r="C6" t="str">
        <x:v>Annual/quarterly results; dividends; corporate actions</x:v>
      </x:c>
      <x:c r="D6" t="str">
        <x:v>Authoritative company source</x:v>
      </x:c>
      <x:c r="E6" t="str">
        <x:v>Company-specific investor-relations URLs</x:v>
      </x:c>
      <x:c r="F6" t="str">
        <x:v>Yes</x:v>
      </x:c>
      <x:c r="G6" t="str">
        <x:v>Preferred when company-specific disclosure is definitive.</x:v>
      </x:c>
    </x:row>
    <x:row r="7">
      <x:c r="A7" t="str">
        <x:v>Tier 1</x:v>
      </x:c>
      <x:c r="B7" t="str">
        <x:v>Government / regulators</x:v>
      </x:c>
      <x:c r="C7" t="str">
        <x:v>Sector/macro data</x:v>
      </x:c>
      <x:c r="D7" t="str">
        <x:v>Authoritative context</x:v>
      </x:c>
      <x:c r="E7" t="str">
        <x:v>https://www.pib.gov.in/</x:v>
      </x:c>
      <x:c r="F7" t="str">
        <x:v>Yes</x:v>
      </x:c>
      <x:c r="G7" t="str">
        <x:v>RBI/SEBI/ministries as applicable.</x:v>
      </x:c>
    </x:row>
    <x:row r="8">
      <x:c r="A8" t="str">
        <x:v>Tier 2</x:v>
      </x:c>
      <x:c r="B8" t="str">
        <x:v>Licensed market-data provider</x:v>
      </x:c>
      <x:c r="C8" t="str">
        <x:v>Fresh quotes; OHLC; historical data</x:v>
      </x:c>
      <x:c r="D8" t="str">
        <x:v>Preferred structured market feed</x:v>
      </x:c>
      <x:c r="E8" t="str">
        <x:v>Configured in deployment</x:v>
      </x:c>
      <x:c r="F8" t="str">
        <x:v>No single provider fixed</x:v>
      </x:c>
      <x:c r="G8" t="str">
        <x:v>Must have suitable commercial/redistribution rights.</x:v>
      </x:c>
    </x:row>
    <x:row r="9">
      <x:c r="A9" t="str">
        <x:v>Tier 3</x:v>
      </x:c>
      <x:c r="B9" t="str">
        <x:v>Moneycontrol</x:v>
      </x:c>
      <x:c r="C9" t="str">
        <x:v>Prices; 52W range; dividends; company facts</x:v>
      </x:c>
      <x:c r="D9" t="str">
        <x:v>Secondary verification</x:v>
      </x:c>
      <x:c r="E9" t="str">
        <x:v>https://www.moneycontrol.com/</x:v>
      </x:c>
      <x:c r="F9" t="str">
        <x:v>Yes</x:v>
      </x:c>
      <x:c r="G9" t="str">
        <x:v>Widely used in research; do not make HTML scraping core architecture.</x:v>
      </x:c>
    </x:row>
    <x:row r="10">
      <x:c r="A10" t="str">
        <x:v>Tier 3</x:v>
      </x:c>
      <x:c r="B10" t="str">
        <x:v>Economic Times Markets</x:v>
      </x:c>
      <x:c r="C10" t="str">
        <x:v>Quotes; historical prices; 52W range</x:v>
      </x:c>
      <x:c r="D10" t="str">
        <x:v>Secondary verification</x:v>
      </x:c>
      <x:c r="E10" t="str">
        <x:v>https://economictimes.indiatimes.com/markets</x:v>
      </x:c>
      <x:c r="F10" t="str">
        <x:v>Yes</x:v>
      </x:c>
      <x:c r="G10" t="str">
        <x:v>Underlying data rights do not automatically transfer.</x:v>
      </x:c>
    </x:row>
    <x:row r="11">
      <x:c r="A11" t="str">
        <x:v>Tier 3</x:v>
      </x:c>
      <x:c r="B11" t="str">
        <x:v>Upstox</x:v>
      </x:c>
      <x:c r="C11" t="str">
        <x:v>Quote/52W verification</x:v>
      </x:c>
      <x:c r="D11" t="str">
        <x:v>Secondary / potential API</x:v>
      </x:c>
      <x:c r="E11" t="str">
        <x:v>https://upstox.com/</x:v>
      </x:c>
      <x:c r="F11" t="str">
        <x:v>Yes</x:v>
      </x:c>
      <x:c r="G11" t="str">
        <x:v>Prefer official API.</x:v>
      </x:c>
    </x:row>
    <x:row r="12">
      <x:c r="A12" t="str">
        <x:v>Tier 3</x:v>
      </x:c>
      <x:c r="B12" t="str">
        <x:v>Dhan</x:v>
      </x:c>
      <x:c r="C12" t="str">
        <x:v>Quote verification</x:v>
      </x:c>
      <x:c r="D12" t="str">
        <x:v>Secondary / potential API</x:v>
      </x:c>
      <x:c r="E12" t="str">
        <x:v>https://dhan.co/</x:v>
      </x:c>
      <x:c r="F12" t="str">
        <x:v>Yes</x:v>
      </x:c>
      <x:c r="G12" t="str">
        <x:v>Prefer official API.</x:v>
      </x:c>
    </x:row>
    <x:row r="13">
      <x:c r="A13" t="str">
        <x:v>Tier 3</x:v>
      </x:c>
      <x:c r="B13" t="str">
        <x:v>ICICI Direct</x:v>
      </x:c>
      <x:c r="C13" t="str">
        <x:v>Quote verification</x:v>
      </x:c>
      <x:c r="D13" t="str">
        <x:v>Secondary</x:v>
      </x:c>
      <x:c r="E13" t="str">
        <x:v>https://www.icicidirect.com/</x:v>
      </x:c>
      <x:c r="F13" t="str">
        <x:v>Yes</x:v>
      </x:c>
      <x:c r="G13" t="str">
        <x:v>Use only with suitable terms/API.</x:v>
      </x:c>
    </x:row>
    <x:row r="14">
      <x:c r="A14" t="str">
        <x:v>Tier 4</x:v>
      </x:c>
      <x:c r="B14" t="str">
        <x:v>EquityPandit</x:v>
      </x:c>
      <x:c r="C14" t="str">
        <x:v>Historical OHLC reconstruction</x:v>
      </x:c>
      <x:c r="D14" t="str">
        <x:v>Backtest verification</x:v>
      </x:c>
      <x:c r="E14" t="str">
        <x:v>https://www.equitypandit.com/</x:v>
      </x:c>
      <x:c r="F14" t="str">
        <x:v>Yes</x:v>
      </x:c>
      <x:c r="G14" t="str">
        <x:v>Used for 2021 historical execution-price checks.</x:v>
      </x:c>
    </x:row>
    <x:row r="15">
      <x:c r="A15" t="str">
        <x:v>Tier 4</x:v>
      </x:c>
      <x:c r="B15" t="str">
        <x:v>StockPriceArchive</x:v>
      </x:c>
      <x:c r="C15" t="str">
        <x:v>Historical price reconstruction</x:v>
      </x:c>
      <x:c r="D15" t="str">
        <x:v>Backtest cross-check</x:v>
      </x:c>
      <x:c r="E15" t="str">
        <x:v>https://stockpricearchive.com/</x:v>
      </x:c>
      <x:c r="F15" t="str">
        <x:v>Yes</x:v>
      </x:c>
      <x:c r="G15" t="str">
        <x:v>Used in earlier 2020 reconstruction.</x:v>
      </x:c>
    </x:row>
    <x:row r="16">
      <x:c r="A16" t="str">
        <x:v>Tier 4</x:v>
      </x:c>
      <x:c r="B16" t="str">
        <x:v>Goodreturns</x:v>
      </x:c>
      <x:c r="C16" t="str">
        <x:v>Dividend cross-checks</x:v>
      </x:c>
      <x:c r="D16" t="str">
        <x:v>Secondary verification</x:v>
      </x:c>
      <x:c r="E16" t="str">
        <x:v>https://www.goodreturns.in/</x:v>
      </x:c>
      <x:c r="F16" t="str">
        <x:v>Yes</x:v>
      </x:c>
      <x:c r="G16" t="str">
        <x:v>Used for dividend verification.</x:v>
      </x:c>
    </x:row>
    <x:row r="17">
      <x:c r="A17" t="str">
        <x:v>Tier 4</x:v>
      </x:c>
      <x:c r="B17" t="str">
        <x:v>Investing.com India</x:v>
      </x:c>
      <x:c r="C17" t="str">
        <x:v>Dividend/yield/history cross-check</x:v>
      </x:c>
      <x:c r="D17" t="str">
        <x:v>Secondary verification</x:v>
      </x:c>
      <x:c r="E17" t="str">
        <x:v>https://in.investing.com/</x:v>
      </x:c>
      <x:c r="F17" t="str">
        <x:v>Yes</x:v>
      </x:c>
      <x:c r="G17" t="str">
        <x:v>Licensing/API required for production use.</x:v>
      </x:c>
    </x:row>
    <x:row r="18">
      <x:c r="A18" t="str">
        <x:v>Tier 4</x:v>
      </x:c>
      <x:c r="B18" t="str">
        <x:v>IPO Central</x:v>
      </x:c>
      <x:c r="C18" t="str">
        <x:v>Listing-date cross-check</x:v>
      </x:c>
      <x:c r="D18" t="str">
        <x:v>Secondary verification</x:v>
      </x:c>
      <x:c r="E18" t="str">
        <x:v>https://ipocentral.in/</x:v>
      </x:c>
      <x:c r="F18" t="str">
        <x:v>Yes</x:v>
      </x:c>
      <x:c r="G18" t="str">
        <x:v>Prefer exchange security master.</x:v>
      </x:c>
    </x:row>
    <x:row r="19">
      <x:c r="A19" t="str">
        <x:v>Context</x:v>
      </x:c>
      <x:c r="B19" t="str">
        <x:v>Reuters</x:v>
      </x:c>
      <x:c r="C19" t="str">
        <x:v>News/geopolitical/market context</x:v>
      </x:c>
      <x:c r="D19" t="str">
        <x:v>Research context only</x:v>
      </x:c>
      <x:c r="E19" t="str">
        <x:v>https://www.reuters.com/</x:v>
      </x:c>
      <x:c r="F19" t="str">
        <x:v>Yes</x:v>
      </x:c>
      <x:c r="G19" t="str">
        <x:v>Do not redistribute without rights.</x:v>
      </x:c>
    </x:row>
    <x:row r="21">
      <x:c r="A21" s="74" t="str">
        <x:v>PRODUCTION DATA RULES</x:v>
      </x:c>
      <x:c r="B21" s="74"/>
      <x:c r="C21" s="74"/>
      <x:c r="D21" s="74"/>
      <x:c r="E21" s="74"/>
      <x:c r="F21" s="74"/>
      <x:c r="G21" s="74"/>
    </x:row>
    <x:row r="22">
      <x:c r="A22" s="53" t="str">
        <x:v>Rule</x:v>
      </x:c>
      <x:c r="B22" s="53" t="str">
        <x:v>Requirement</x:v>
      </x:c>
      <x:c r="C22" t="str"/>
      <x:c r="D22" t="str"/>
      <x:c r="E22" t="str"/>
      <x:c r="F22" t="str"/>
      <x:c r="G22" t="str"/>
    </x:row>
    <x:row r="23">
      <x:c r="A23" t="str">
        <x:v>Fresh data</x:v>
      </x:c>
      <x:c r="B23" t="str">
        <x:v>Normal operation must fetch current external data; do not use seed CSV as production truth.</x:v>
      </x:c>
      <x:c r="C23" t="str"/>
      <x:c r="D23" t="str"/>
      <x:c r="E23" t="str"/>
      <x:c r="F23" t="str"/>
      <x:c r="G23" t="str"/>
    </x:row>
    <x:row r="24">
      <x:c r="A24" t="str">
        <x:v>Point-in-time</x:v>
      </x:c>
      <x:c r="B24" t="str">
        <x:v>Historical analysis can use only observations with knownFrom &lt;= analysisDate.</x:v>
      </x:c>
      <x:c r="C24" t="str"/>
      <x:c r="D24" t="str"/>
      <x:c r="E24" t="str"/>
      <x:c r="F24" t="str"/>
      <x:c r="G24" t="str"/>
    </x:row>
    <x:row r="25">
      <x:c r="A25" t="str">
        <x:v>Provenance</x:v>
      </x:c>
      <x:c r="B25" t="str">
        <x:v>Store provider, source URL/id, publication/observation time, retrieval time, raw reference, normalized value and confidence.</x:v>
      </x:c>
      <x:c r="C25" t="str"/>
      <x:c r="D25" t="str"/>
      <x:c r="E25" t="str"/>
      <x:c r="F25" t="str"/>
      <x:c r="G25" t="str"/>
    </x:row>
    <x:row r="26">
      <x:c r="A26" t="str">
        <x:v>Immutable snapshots</x:v>
      </x:c>
      <x:c r="B26" t="str">
        <x:v>Each model run references a frozen data snapshot; later refreshes must not change historical reports.</x:v>
      </x:c>
      <x:c r="C26" t="str"/>
      <x:c r="D26" t="str"/>
      <x:c r="E26" t="str"/>
      <x:c r="F26" t="str"/>
      <x:c r="G26" t="str"/>
    </x:row>
    <x:row r="27">
      <x:c r="A27" t="str">
        <x:v>Conflicts</x:v>
      </x:c>
      <x:c r="B27" t="str">
        <x:v>Retain conflicting source observations and resolve by source tier/tolerance; never silently delete them.</x:v>
      </x:c>
      <x:c r="C27" t="str"/>
      <x:c r="D27" t="str"/>
      <x:c r="E27" t="str"/>
      <x:c r="F27" t="str"/>
      <x:c r="G27" t="str"/>
    </x:row>
    <x:row r="28">
      <x:c r="A28" t="str">
        <x:v>Licensing</x:v>
      </x:c>
      <x:c r="B28" t="str">
        <x:v>A technically accessible website is not automatically approved for redistribution or commercial production use.</x:v>
      </x:c>
      <x:c r="C28" t="str"/>
      <x:c r="D28" t="str"/>
      <x:c r="E28" t="str"/>
      <x:c r="F28" t="str"/>
      <x:c r="G28" t="str"/>
    </x:row>
  </x:sheetData>
  <x:mergeCells>
    <x:mergeCell ref="A1:G1"/>
    <x:mergeCell ref="A21:G21"/>
  </x:mergeCells>
  <x:pageMargins left="0.7" right="0.7" top="0.75" bottom="0.75" header="0.3" footer="0.3"/>
</x:worksheet>
</file>